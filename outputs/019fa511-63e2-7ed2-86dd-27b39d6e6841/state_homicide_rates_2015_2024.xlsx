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3df140705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ce28c59fc08447c"/>
    <x:sheet xmlns:r="http://schemas.openxmlformats.org/officeDocument/2006/relationships" name="State Rates" sheetId="2" r:id="Rff2a918b21ce4c4c"/>
    <x:sheet xmlns:r="http://schemas.openxmlformats.org/officeDocument/2006/relationships" name="Long Data" sheetId="3" r:id="R21a2695748e242aa"/>
    <x:sheet xmlns:r="http://schemas.openxmlformats.org/officeDocument/2006/relationships" name="National" sheetId="4" r:id="R3b71ec1930e64835"/>
    <x:sheet xmlns:r="http://schemas.openxmlformats.org/officeDocument/2006/relationships" name="Notes &amp; Sources" sheetId="5" r:id="Rfe2d52fc9a79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"/>
    <x:numFmt numFmtId="203" formatCode="#,##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607080"/>
      <x:name val="Carlito"/>
    </x:font>
    <x:font>
      <x:b/>
      <x:sz val="11"/>
      <x:color rgb="FF1F2937"/>
      <x:name val="Carlito"/>
    </x:font>
    <x:font>
      <x:b/>
      <x:sz val="11"/>
      <x:color rgb="FF15324B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b/>
      <x:sz val="20"/>
      <x:color rgb="FF1F2937"/>
      <x:name val="Aptos"/>
    </x:font>
    <x:font>
      <x:b/>
      <x:sz val="20"/>
      <x:color rgb="FFFFFFFF"/>
      <x:name val="Aptos"/>
    </x:font>
    <x:font>
      <x:b/>
      <x:sz val="10"/>
      <x:color rgb="FFFFFFFF"/>
      <x:name val="Aptos"/>
    </x:font>
    <x:font>
      <x:b/>
      <x:sz val="10"/>
      <x:color rgb="FF15324B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1F7"/>
      </x:patternFill>
    </x:fill>
    <x:fill>
      <x:patternFill patternType="solid">
        <x:fgColor rgb="FFDFF3F1"/>
      </x:patternFill>
    </x:fill>
    <x:fill>
      <x:patternFill patternType="solid">
        <x:fgColor rgb="FF138A8A"/>
      </x:patternFill>
    </x:fill>
    <x:fill>
      <x:patternFill patternType="solid">
        <x:fgColor rgb="FFE6A93D"/>
      </x:patternFill>
    </x:fill>
    <x:fill>
      <x:patternFill patternType="solid">
        <x:fgColor rgb="FFFFF4DD"/>
      </x:patternFill>
    </x:fill>
  </x:fills>
  <x:borders count="12">
    <x:border/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E6A93D"/>
      </x:left>
      <x:top style="thin">
        <x:color rgb="FFE6A93D"/>
      </x:top>
    </x:border>
    <x:border>
      <x:top style="thin">
        <x:color rgb="FFE6A93D"/>
      </x:top>
    </x:border>
    <x:border>
      <x:right style="thin">
        <x:color rgb="FFE6A93D"/>
      </x:right>
      <x:top style="thin">
        <x:color rgb="FFE6A93D"/>
      </x:top>
    </x:border>
    <x:border>
      <x:left style="thin">
        <x:color rgb="FFE6A93D"/>
      </x:left>
    </x:border>
    <x:border>
      <x:right style="thin">
        <x:color rgb="FFE6A93D"/>
      </x:right>
    </x:border>
    <x:border>
      <x:left style="thin">
        <x:color rgb="FFE6A93D"/>
      </x:left>
      <x:bottom style="thin">
        <x:color rgb="FFE6A93D"/>
      </x:bottom>
    </x:border>
    <x:border>
      <x:bottom style="thin">
        <x:color rgb="FFE6A93D"/>
      </x:bottom>
    </x:border>
    <x:border>
      <x:right style="thin">
        <x:color rgb="FFE6A93D"/>
      </x:right>
      <x:bottom style="thin">
        <x:color rgb="FFE6A93D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1" xfId="0" applyNumberFormat="1" applyFont="1" applyFill="1" applyBorder="1" applyAlignment="1">
      <x:alignment vertical="center"/>
    </x:xf>
    <x:xf numFmtId="201" fontId="3" fillId="3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202" fontId="0" fillId="0" borderId="0" xfId="0" applyNumberFormat="1" applyFont="1" applyFill="1" applyBorder="1"/>
    <x:xf numFmtId="0" fontId="5" fillId="2" borderId="11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9" fillId="2" borderId="11" xfId="0" applyNumberFormat="1" applyFont="1" applyFill="1" applyBorder="1" applyAlignment="1">
      <x:alignment horizontal="center" wrapText="1"/>
    </x:xf>
    <x:xf numFmtId="0" fontId="10" fillId="3" borderId="11" xfId="0" applyNumberFormat="1" applyFont="1" applyFill="1" applyBorder="1"/>
    <x:xf numFmtId="200" fontId="11" fillId="0" borderId="11" xfId="0" applyNumberFormat="1" applyFont="1" applyFill="1" applyBorder="1"/>
    <x:xf numFmtId="201" fontId="11" fillId="0" borderId="11" xfId="0" applyNumberFormat="1" applyFont="1" applyFill="1" applyBorder="1"/>
    <x:xf numFmtId="202" fontId="11" fillId="0" borderId="11" xfId="0" applyNumberFormat="1" applyFont="1" applyFill="1" applyBorder="1"/>
    <x:xf numFmtId="0" fontId="5" fillId="2" borderId="11" xfId="0" applyNumberFormat="1" applyFont="1" applyFill="1" applyBorder="1"/>
    <x:xf numFmtId="0" fontId="0" fillId="0" borderId="11" xfId="0" applyNumberFormat="1" applyFont="1" applyFill="1" applyBorder="1"/>
    <x:xf numFmtId="203" fontId="0" fillId="0" borderId="0" xfId="0" applyNumberFormat="1" applyFont="1" applyFill="1" applyBorder="1"/>
    <x:xf numFmtId="203" fontId="0" fillId="0" borderId="11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91aa309114fde" /><Relationship Type="http://schemas.openxmlformats.org/officeDocument/2006/relationships/theme" Target="/xl/theme/theme1.xml" Id="R7c090b78ddc34337" /><Relationship Type="http://schemas.openxmlformats.org/officeDocument/2006/relationships/sharedStrings" Target="/xl/sharedStrings.xml" Id="R208a3f120cbf4005" /><Relationship Type="http://schemas.openxmlformats.org/officeDocument/2006/relationships/worksheet" Target="/xl/worksheets/sheet1.xml" Id="R3ce28c59fc08447c" /><Relationship Type="http://schemas.openxmlformats.org/officeDocument/2006/relationships/worksheet" Target="/xl/worksheets/sheet2.xml" Id="Rff2a918b21ce4c4c" /><Relationship Type="http://schemas.openxmlformats.org/officeDocument/2006/relationships/worksheet" Target="/xl/worksheets/sheet3.xml" Id="R21a2695748e242aa" /><Relationship Type="http://schemas.openxmlformats.org/officeDocument/2006/relationships/worksheet" Target="/xl/worksheets/sheet4.xml" Id="R3b71ec1930e64835" /><Relationship Type="http://schemas.openxmlformats.org/officeDocument/2006/relationships/worksheet" Target="/xl/worksheets/sheet5.xml" Id="Rfe2d52fc9a7943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0c9d8574a749bb" /><Relationship Type="http://schemas.openxmlformats.org/officeDocument/2006/relationships/chart" Target="/xl/drawings/charts/chart2.xml" Id="R1451b9fec1d944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U.S. homicide mortality rate</a:t>
            </a:r>
          </a:p>
        </c:rich>
      </c:tx>
    </c:title>
    <c:plotArea>
      <c:lineChart>
        <c:grouping val="standard"/>
        <c:ser>
          <c:idx val="0"/>
          <c:order val="0"/>
          <c:tx>
            <c:v>U.S. crude rate</c:v>
          </c:tx>
          <c:marker>
            <c:symbol val="none"/>
          </c:marker>
          <c:cat>
            <c:strRef>
              <c:f>'Dashboard'!$H$5:$H$14</c:f>
              <c:strCache>
                <c:ptCount val="0"/>
              </c:strCache>
            </c:strRef>
          </c:cat>
          <c:val>
            <c:numRef>
              <c:f>'Dashboard'!$I$5:$I$14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Year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Deaths per 100,000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Highest state rates in 2024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2024 rate</c:v>
          </c:tx>
          <c:cat>
            <c:strRef>
              <c:f>'Dashboard'!$K$5:$K$14</c:f>
              <c:strCache>
                <c:ptCount val="0"/>
              </c:strCache>
            </c:strRef>
          </c:cat>
          <c:val>
            <c:numRef>
              <c:f>'Dashboard'!$L$5:$L$14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Deaths per 100,000</a:t>
                </a:r>
              </a:p>
            </c:rich>
          </c:tx>
        </c:title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0c9d8574a749bb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1b9fec1d944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teRateMatrix" displayName="StateRateMatrix" ref="A5:P55" headerRowCount="1" totalsRowCount="0" totalsRowShown="0">
  <x:tableColumns count="16">
    <x:tableColumn id="1" name="State"/>
    <x:tableColumn id="2" name="2015"/>
    <x:tableColumn id="3" name="2016"/>
    <x:tableColumn id="4" name="2017"/>
    <x:tableColumn id="5" name="2018"/>
    <x:tableColumn id="6" name="2019"/>
    <x:tableColumn id="7" name="2020"/>
    <x:tableColumn id="8" name="2021"/>
    <x:tableColumn id="9" name="2022"/>
    <x:tableColumn id="10" name="2023"/>
    <x:tableColumn id="11" name="2024"/>
    <x:tableColumn id="12" name="Δ rate"/>
    <x:tableColumn id="13" name="% change"/>
    <x:tableColumn id="14" name="Peak"/>
    <x:tableColumn id="15" name="Peak year"/>
    <x:tableColumn id="16" name="2024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StateRates" displayName="LongStateRates" ref="A5:E505" headerRowCount="1" totalsRowCount="0" totalsRowShown="0">
  <x:tableColumns count="5">
    <x:tableColumn id="1" name="State FIPS"/>
    <x:tableColumn id="2" name="State"/>
    <x:tableColumn id="3" name="Year"/>
    <x:tableColumn id="4" name="Crude rate"/>
    <x:tableColumn id="5" name="Age-adjusted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tionalTrend" displayName="NationalTrend" ref="A5:F15" headerRowCount="1" totalsRowCount="0" totalsRowShown="0">
  <x:tableColumns count="6">
    <x:tableColumn id="1" name="Year"/>
    <x:tableColumn id="2" name="Deaths"/>
    <x:tableColumn id="3" name="Population"/>
    <x:tableColumn id="4" name="Crude rate"/>
    <x:tableColumn id="5" name="Age-adjusted rate"/>
    <x:tableColumn id="6" name="YoY crude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456b0be98040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34b66a4988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e64fcadb3245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56bd6be85641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3" hidden="0" customWidth="1"/>
    <x:col min="4" max="4" width="23" hidden="0" customWidth="1"/>
    <x:col min="5" max="5" width="12" hidden="0" customWidth="1"/>
    <x:col min="6" max="6" width="10" hidden="0" customWidth="1"/>
    <x:col min="7" max="7" width="10" hidden="0" customWidth="1"/>
    <x:col min="8" max="8" width="12" hidden="0" customWidth="1"/>
    <x:col min="9" max="9" width="15" hidden="0" customWidth="1"/>
    <x:col min="10" max="10" width="3" hidden="0" customWidth="1"/>
    <x:col min="11" max="11" width="20" hidden="0" customWidth="1"/>
    <x:col min="12" max="12" width="12" hidden="0" customWidth="1"/>
    <x:col min="13" max="13" width="10" hidden="0" customWidth="1"/>
    <x:col min="14" max="14" width="10" hidden="0" customWidth="1"/>
  </x:cols>
  <x:sheetData>
    <x:row r="1">
      <x:c r="A1" s="53" t="str">
        <x:v>U.S. Homicide Mortality by State, 2015–2024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3">
      <x:c r="A3" s="4" t="str">
        <x:v>CDC WISQARS / NVSS • crude deaths per 100,000 residents • 50 states (D.C. excluded)</x:v>
      </x:c>
    </x:row>
    <x:row r="4" ht="28" customHeight="1">
      <x:c r="A4" s="9" t="str">
        <x:v>2024 U.S. rate</x:v>
      </x:c>
      <x:c r="B4" s="11" t="n">
        <x:v>5.93</x:v>
      </x:c>
      <x:c r="C4" s="12"/>
      <x:c r="D4" s="13" t="str">
        <x:v>2021 peak rate</x:v>
      </x:c>
      <x:c r="E4" s="11" t="n">
        <x:v>7.84</x:v>
      </x:c>
      <x:c r="H4" s="21" t="str">
        <x:v>Year</x:v>
      </x:c>
      <x:c r="I4" s="21" t="str">
        <x:v>U.S. crude rate</x:v>
      </x:c>
      <x:c r="K4" s="23" t="str">
        <x:v>State</x:v>
      </x:c>
      <x:c r="L4" s="23" t="str">
        <x:v>2024 rate</x:v>
      </x:c>
    </x:row>
    <x:row r="5" ht="28" customHeight="1">
      <x:c r="H5" t="n">
        <x:v>2015</x:v>
      </x:c>
      <x:c r="I5" s="12" t="n">
        <x:v>5.55</x:v>
      </x:c>
      <x:c r="K5" t="str">
        <x:v>Mississippi</x:v>
      </x:c>
      <x:c r="L5" s="12" t="n">
        <x:v>18.62</x:v>
      </x:c>
    </x:row>
    <x:row r="6" ht="28" customHeight="1">
      <x:c r="A6" s="9" t="str">
        <x:v>Change, 2021→2024</x:v>
      </x:c>
      <x:c r="B6" s="14" t="n">
        <x:v>-0.24362244897959184</x:v>
      </x:c>
      <x:c r="C6" s="15"/>
      <x:c r="D6" s="16" t="str">
        <x:v>Change, 2015→2024</x:v>
      </x:c>
      <x:c r="E6" s="14" t="n">
        <x:v>0.06846846846846844</x:v>
      </x:c>
      <x:c r="H6" t="n">
        <x:v>2016</x:v>
      </x:c>
      <x:c r="I6" s="12" t="n">
        <x:v>5.99</x:v>
      </x:c>
      <x:c r="K6" t="str">
        <x:v>Louisiana</x:v>
      </x:c>
      <x:c r="L6" s="12" t="n">
        <x:v>14.33</x:v>
      </x:c>
    </x:row>
    <x:row r="7">
      <x:c r="H7" t="n">
        <x:v>2017</x:v>
      </x:c>
      <x:c r="I7" s="12" t="n">
        <x:v>6</x:v>
      </x:c>
      <x:c r="K7" t="str">
        <x:v>New Mexico</x:v>
      </x:c>
      <x:c r="L7" s="12" t="n">
        <x:v>12.58</x:v>
      </x:c>
    </x:row>
    <x:row r="8">
      <x:c r="A8" s="19" t="str">
        <x:v>The national rate rose sharply in 2020–2021, then fell for three straight years.</x:v>
      </x:c>
      <x:c r="B8" s="19"/>
      <x:c r="C8" s="19"/>
      <x:c r="D8" s="19"/>
      <x:c r="E8" s="19"/>
      <x:c r="F8" s="19"/>
      <x:c r="H8" t="n">
        <x:v>2018</x:v>
      </x:c>
      <x:c r="I8" s="12" t="n">
        <x:v>5.76</x:v>
      </x:c>
      <x:c r="K8" t="str">
        <x:v>Alabama</x:v>
      </x:c>
      <x:c r="L8" s="12" t="n">
        <x:v>12.51</x:v>
      </x:c>
    </x:row>
    <x:row r="9">
      <x:c r="H9" t="n">
        <x:v>2019</x:v>
      </x:c>
      <x:c r="I9" s="12" t="n">
        <x:v>5.83</x:v>
      </x:c>
      <x:c r="K9" t="str">
        <x:v>Tennessee</x:v>
      </x:c>
      <x:c r="L9" s="12" t="n">
        <x:v>9.64</x:v>
      </x:c>
    </x:row>
    <x:row r="10">
      <x:c r="H10" t="n">
        <x:v>2020</x:v>
      </x:c>
      <x:c r="I10" s="12" t="n">
        <x:v>7.41</x:v>
      </x:c>
      <x:c r="K10" t="str">
        <x:v>South Carolina</x:v>
      </x:c>
      <x:c r="L10" s="12" t="n">
        <x:v>9.22</x:v>
      </x:c>
    </x:row>
    <x:row r="11">
      <x:c r="H11" t="n">
        <x:v>2021</x:v>
      </x:c>
      <x:c r="I11" s="12" t="n">
        <x:v>7.84</x:v>
      </x:c>
      <x:c r="K11" t="str">
        <x:v>Georgia</x:v>
      </x:c>
      <x:c r="L11" s="12" t="n">
        <x:v>8.95</x:v>
      </x:c>
    </x:row>
    <x:row r="12">
      <x:c r="H12" t="n">
        <x:v>2022</x:v>
      </x:c>
      <x:c r="I12" s="12" t="n">
        <x:v>7.44</x:v>
      </x:c>
      <x:c r="K12" t="str">
        <x:v>Missouri</x:v>
      </x:c>
      <x:c r="L12" s="12" t="n">
        <x:v>8.89</x:v>
      </x:c>
    </x:row>
    <x:row r="13">
      <x:c r="H13" t="n">
        <x:v>2023</x:v>
      </x:c>
      <x:c r="I13" s="12" t="n">
        <x:v>6.78</x:v>
      </x:c>
      <x:c r="K13" t="str">
        <x:v>Maryland</x:v>
      </x:c>
      <x:c r="L13" s="12" t="n">
        <x:v>8.45</x:v>
      </x:c>
    </x:row>
    <x:row r="14">
      <x:c r="H14" t="n">
        <x:v>2024</x:v>
      </x:c>
      <x:c r="I14" s="12" t="n">
        <x:v>5.93</x:v>
      </x:c>
      <x:c r="K14" t="str">
        <x:v>Illinois</x:v>
      </x:c>
      <x:c r="L14" s="12" t="n">
        <x:v>8.32</x:v>
      </x:c>
    </x:row>
    <x:row r="27">
      <x:c r="A27" s="43" t="str">
        <x:v>Interpret carefully: statewide totals cannot establish claims about offender race, victim–offender relationships, or neighborhood-level risk. Those require incident-level data and appropriate population denominators.</x:v>
      </x:c>
      <x:c r="B27" s="44"/>
      <x:c r="C27" s="44"/>
      <x:c r="D27" s="44"/>
      <x:c r="E27" s="44"/>
      <x:c r="F27" s="44"/>
      <x:c r="G27" s="45"/>
    </x:row>
    <x:row r="28">
      <x:c r="A28" s="46"/>
      <x:c r="B28" s="47"/>
      <x:c r="C28" s="47"/>
      <x:c r="D28" s="47"/>
      <x:c r="E28" s="47"/>
      <x:c r="F28" s="47"/>
      <x:c r="G28" s="48"/>
    </x:row>
    <x:row r="29">
      <x:c r="A29" s="46"/>
      <x:c r="B29" s="47"/>
      <x:c r="C29" s="47"/>
      <x:c r="D29" s="47"/>
      <x:c r="E29" s="47"/>
      <x:c r="F29" s="47"/>
      <x:c r="G29" s="48"/>
    </x:row>
    <x:row r="30">
      <x:c r="A30" s="49"/>
      <x:c r="B30" s="50"/>
      <x:c r="C30" s="50"/>
      <x:c r="D30" s="50"/>
      <x:c r="E30" s="50"/>
      <x:c r="F30" s="50"/>
      <x:c r="G30" s="51"/>
    </x:row>
  </x:sheetData>
  <x:mergeCells>
    <x:mergeCell ref="A1:N2"/>
    <x:mergeCell ref="A8:F8"/>
    <x:mergeCell ref="A27:G30"/>
  </x:mergeCells>
  <x:pageMargins left="0.7" right="0.7" top="0.75" bottom="0.75" header="0.3" footer="0.3"/>
  <x:drawing xmlns:r="http://schemas.openxmlformats.org/officeDocument/2006/relationships" r:id="R39456b0be98040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>
      <x:c r="A1" s="3" t="str">
        <x:v>State homicide mortality rates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4" t="str">
        <x:v>Crude rates per 100,000 residents; use the Long Data sheet for both crude and age-adjusted values.</x:v>
      </x:c>
    </x:row>
    <x:row r="5">
      <x:c r="A5" s="64" t="str">
        <x:v>State</x:v>
      </x:c>
      <x:c r="B5" s="64" t="n">
        <x:v>2015</x:v>
      </x:c>
      <x:c r="C5" s="64" t="n">
        <x:v>2016</x:v>
      </x:c>
      <x:c r="D5" s="64" t="n">
        <x:v>2017</x:v>
      </x:c>
      <x:c r="E5" s="64" t="n">
        <x:v>2018</x:v>
      </x:c>
      <x:c r="F5" s="64" t="n">
        <x:v>2019</x:v>
      </x:c>
      <x:c r="G5" s="64" t="n">
        <x:v>2020</x:v>
      </x:c>
      <x:c r="H5" s="64" t="n">
        <x:v>2021</x:v>
      </x:c>
      <x:c r="I5" s="64" t="n">
        <x:v>2022</x:v>
      </x:c>
      <x:c r="J5" s="64" t="n">
        <x:v>2023</x:v>
      </x:c>
      <x:c r="K5" s="64" t="n">
        <x:v>2024</x:v>
      </x:c>
      <x:c r="L5" s="64" t="str">
        <x:v>Δ rate</x:v>
      </x:c>
      <x:c r="M5" s="64" t="str">
        <x:v>% change</x:v>
      </x:c>
      <x:c r="N5" s="64" t="str">
        <x:v>Peak</x:v>
      </x:c>
      <x:c r="O5" s="64" t="str">
        <x:v>Peak year</x:v>
      </x:c>
      <x:c r="P5" s="64" t="str">
        <x:v>2024 rank</x:v>
      </x:c>
    </x:row>
    <x:row r="6">
      <x:c r="A6" s="65" t="str">
        <x:v>Alabama</x:v>
      </x:c>
      <x:c r="B6" s="66" t="n">
        <x:v>9.74</x:v>
      </x:c>
      <x:c r="C6" s="66" t="n">
        <x:v>11.18</x:v>
      </x:c>
      <x:c r="D6" s="66" t="n">
        <x:v>12.34</x:v>
      </x:c>
      <x:c r="E6" s="66" t="n">
        <x:v>11.61</x:v>
      </x:c>
      <x:c r="F6" s="66" t="n">
        <x:v>11.96</x:v>
      </x:c>
      <x:c r="G6" s="66" t="n">
        <x:v>12.99</x:v>
      </x:c>
      <x:c r="H6" s="66" t="n">
        <x:v>14.81</x:v>
      </x:c>
      <x:c r="I6" s="66" t="n">
        <x:v>13.91</x:v>
      </x:c>
      <x:c r="J6" s="66" t="n">
        <x:v>14.01</x:v>
      </x:c>
      <x:c r="K6" s="66" t="n">
        <x:v>12.51</x:v>
      </x:c>
      <x:c r="L6" s="66" t="n">
        <x:f>K6-B6</x:f>
        <x:v>2.7699999999999996</x:v>
      </x:c>
      <x:c r="M6" s="67" t="n">
        <x:f>IFERROR(K6/B6-1,0)</x:f>
        <x:v>0.284394250513347</x:v>
      </x:c>
      <x:c r="N6" s="66" t="n">
        <x:f>MAX(B6:K6)</x:f>
        <x:v>14.81</x:v>
      </x:c>
      <x:c r="O6" s="68" t="n">
        <x:f>MATCH(N6,B6:K6,0)+2014</x:f>
        <x:v>2021</x:v>
      </x:c>
      <x:c r="P6" s="68" t="n">
        <x:f>RANK(K6,$K$6:$K$55,0)</x:f>
        <x:v>4</x:v>
      </x:c>
    </x:row>
    <x:row r="7">
      <x:c r="A7" s="65" t="str">
        <x:v>Alaska</x:v>
      </x:c>
      <x:c r="B7" s="66" t="n">
        <x:v>8.4</x:v>
      </x:c>
      <x:c r="C7" s="66" t="n">
        <x:v>7.27</x:v>
      </x:c>
      <x:c r="D7" s="66" t="n">
        <x:v>10.53</x:v>
      </x:c>
      <x:c r="E7" s="66" t="n">
        <x:v>7.6</x:v>
      </x:c>
      <x:c r="F7" s="66" t="n">
        <x:v>10.63</x:v>
      </x:c>
      <x:c r="G7" s="66" t="n">
        <x:v>7.5</x:v>
      </x:c>
      <x:c r="H7" s="66" t="n">
        <x:v>6.67</x:v>
      </x:c>
      <x:c r="I7" s="66" t="n">
        <x:v>10.35</x:v>
      </x:c>
      <x:c r="J7" s="66" t="n">
        <x:v>8.28</x:v>
      </x:c>
      <x:c r="K7" s="66" t="n">
        <x:v>7.57</x:v>
      </x:c>
      <x:c r="L7" s="66" t="n">
        <x:f>K7-B7</x:f>
        <x:v>-0.8300000000000001</x:v>
      </x:c>
      <x:c r="M7" s="67" t="n">
        <x:f>IFERROR(K7/B7-1,0)</x:f>
        <x:v>-0.09880952380952379</x:v>
      </x:c>
      <x:c r="N7" s="66" t="n">
        <x:f>MAX(B7:K7)</x:f>
        <x:v>10.63</x:v>
      </x:c>
      <x:c r="O7" s="68" t="n">
        <x:f>MATCH(N7,B7:K7,0)+2014</x:f>
        <x:v>2019</x:v>
      </x:c>
      <x:c r="P7" s="68" t="n">
        <x:f>RANK(K7,$K$6:$K$55,0)</x:f>
        <x:v>12</x:v>
      </x:c>
    </x:row>
    <x:row r="8">
      <x:c r="A8" s="65" t="str">
        <x:v>Arizona</x:v>
      </x:c>
      <x:c r="B8" s="66" t="n">
        <x:v>5.33</x:v>
      </x:c>
      <x:c r="C8" s="66" t="n">
        <x:v>6.05</x:v>
      </x:c>
      <x:c r="D8" s="66" t="n">
        <x:v>6.26</x:v>
      </x:c>
      <x:c r="E8" s="66" t="n">
        <x:v>5.86</x:v>
      </x:c>
      <x:c r="F8" s="66" t="n">
        <x:v>5.68</x:v>
      </x:c>
      <x:c r="G8" s="66" t="n">
        <x:v>7.31</x:v>
      </x:c>
      <x:c r="H8" s="66" t="n">
        <x:v>7.73</x:v>
      </x:c>
      <x:c r="I8" s="66" t="n">
        <x:v>8.53</x:v>
      </x:c>
      <x:c r="J8" s="66" t="n">
        <x:v>7.11</x:v>
      </x:c>
      <x:c r="K8" s="66" t="n">
        <x:v>6.16</x:v>
      </x:c>
      <x:c r="L8" s="66" t="n">
        <x:f>K8-B8</x:f>
        <x:v>0.8300000000000001</x:v>
      </x:c>
      <x:c r="M8" s="67" t="n">
        <x:f>IFERROR(K8/B8-1,0)</x:f>
        <x:v>0.15572232645403372</x:v>
      </x:c>
      <x:c r="N8" s="66" t="n">
        <x:f>MAX(B8:K8)</x:f>
        <x:v>8.53</x:v>
      </x:c>
      <x:c r="O8" s="68" t="n">
        <x:f>MATCH(N8,B8:K8,0)+2014</x:f>
        <x:v>2022</x:v>
      </x:c>
      <x:c r="P8" s="68" t="n">
        <x:f>RANK(K8,$K$6:$K$55,0)</x:f>
        <x:v>20</x:v>
      </x:c>
    </x:row>
    <x:row r="9">
      <x:c r="A9" s="65" t="str">
        <x:v>Arkansas</x:v>
      </x:c>
      <x:c r="B9" s="66" t="n">
        <x:v>7.28</x:v>
      </x:c>
      <x:c r="C9" s="66" t="n">
        <x:v>8.29</x:v>
      </x:c>
      <x:c r="D9" s="66" t="n">
        <x:v>9.26</x:v>
      </x:c>
      <x:c r="E9" s="66" t="n">
        <x:v>8.76</x:v>
      </x:c>
      <x:c r="F9" s="66" t="n">
        <x:v>8.94</x:v>
      </x:c>
      <x:c r="G9" s="66" t="n">
        <x:v>12.31</x:v>
      </x:c>
      <x:c r="H9" s="66" t="n">
        <x:v>11.07</x:v>
      </x:c>
      <x:c r="I9" s="66" t="n">
        <x:v>11.32</x:v>
      </x:c>
      <x:c r="J9" s="66" t="n">
        <x:v>10.59</x:v>
      </x:c>
      <x:c r="K9" s="66" t="n">
        <x:v>8</x:v>
      </x:c>
      <x:c r="L9" s="66" t="n">
        <x:f>K9-B9</x:f>
        <x:v>0.7199999999999998</x:v>
      </x:c>
      <x:c r="M9" s="67" t="n">
        <x:f>IFERROR(K9/B9-1,0)</x:f>
        <x:v>0.09890109890109877</x:v>
      </x:c>
      <x:c r="N9" s="66" t="n">
        <x:f>MAX(B9:K9)</x:f>
        <x:v>12.31</x:v>
      </x:c>
      <x:c r="O9" s="68" t="n">
        <x:f>MATCH(N9,B9:K9,0)+2014</x:f>
        <x:v>2020</x:v>
      </x:c>
      <x:c r="P9" s="68" t="n">
        <x:f>RANK(K9,$K$6:$K$55,0)</x:f>
        <x:v>11</x:v>
      </x:c>
    </x:row>
    <x:row r="10">
      <x:c r="A10" s="65" t="str">
        <x:v>California</x:v>
      </x:c>
      <x:c r="B10" s="66" t="n">
        <x:v>5.11</x:v>
      </x:c>
      <x:c r="C10" s="66" t="n">
        <x:v>5.3</x:v>
      </x:c>
      <x:c r="D10" s="66" t="n">
        <x:v>5.14</x:v>
      </x:c>
      <x:c r="E10" s="66" t="n">
        <x:v>4.79</x:v>
      </x:c>
      <x:c r="F10" s="66" t="n">
        <x:v>4.55</x:v>
      </x:c>
      <x:c r="G10" s="66" t="n">
        <x:v>5.99</x:v>
      </x:c>
      <x:c r="H10" s="66" t="n">
        <x:v>6.37</x:v>
      </x:c>
      <x:c r="I10" s="66" t="n">
        <x:v>5.89</x:v>
      </x:c>
      <x:c r="J10" s="66" t="n">
        <x:v>5.03</x:v>
      </x:c>
      <x:c r="K10" s="66" t="n">
        <x:v>4.48</x:v>
      </x:c>
      <x:c r="L10" s="66" t="n">
        <x:f>K10-B10</x:f>
        <x:v>-0.6299999999999999</x:v>
      </x:c>
      <x:c r="M10" s="67" t="n">
        <x:f>IFERROR(K10/B10-1,0)</x:f>
        <x:v>-0.12328767123287665</x:v>
      </x:c>
      <x:c r="N10" s="66" t="n">
        <x:f>MAX(B10:K10)</x:f>
        <x:v>6.37</x:v>
      </x:c>
      <x:c r="O10" s="68" t="n">
        <x:f>MATCH(N10,B10:K10,0)+2014</x:f>
        <x:v>2021</x:v>
      </x:c>
      <x:c r="P10" s="68" t="n">
        <x:f>RANK(K10,$K$6:$K$55,0)</x:f>
        <x:v>31</x:v>
      </x:c>
    </x:row>
    <x:row r="11">
      <x:c r="A11" s="65" t="str">
        <x:v>Colorado</x:v>
      </x:c>
      <x:c r="B11" s="66" t="n">
        <x:v>3.78</x:v>
      </x:c>
      <x:c r="C11" s="66" t="n">
        <x:v>4.24</x:v>
      </x:c>
      <x:c r="D11" s="66" t="n">
        <x:v>4.65</x:v>
      </x:c>
      <x:c r="E11" s="66" t="n">
        <x:v>4.62</x:v>
      </x:c>
      <x:c r="F11" s="66" t="n">
        <x:v>4.34</x:v>
      </x:c>
      <x:c r="G11" s="66" t="n">
        <x:v>5.81</x:v>
      </x:c>
      <x:c r="H11" s="66" t="n">
        <x:v>6.33</x:v>
      </x:c>
      <x:c r="I11" s="66" t="n">
        <x:v>7.13</x:v>
      </x:c>
      <x:c r="J11" s="66" t="n">
        <x:v>6.24</x:v>
      </x:c>
      <x:c r="K11" s="66" t="n">
        <x:v>5.12</x:v>
      </x:c>
      <x:c r="L11" s="66" t="n">
        <x:f>K11-B11</x:f>
        <x:v>1.3400000000000003</x:v>
      </x:c>
      <x:c r="M11" s="67" t="n">
        <x:f>IFERROR(K11/B11-1,0)</x:f>
        <x:v>0.35449735449735464</x:v>
      </x:c>
      <x:c r="N11" s="66" t="n">
        <x:f>MAX(B11:K11)</x:f>
        <x:v>7.13</x:v>
      </x:c>
      <x:c r="O11" s="68" t="n">
        <x:f>MATCH(N11,B11:K11,0)+2014</x:f>
        <x:v>2022</x:v>
      </x:c>
      <x:c r="P11" s="68" t="n">
        <x:f>RANK(K11,$K$6:$K$55,0)</x:f>
        <x:v>28</x:v>
      </x:c>
    </x:row>
    <x:row r="12">
      <x:c r="A12" s="65" t="str">
        <x:v>Connecticut</x:v>
      </x:c>
      <x:c r="B12" s="66" t="n">
        <x:v>3.46</x:v>
      </x:c>
      <x:c r="C12" s="66" t="n">
        <x:v>2.46</x:v>
      </x:c>
      <x:c r="D12" s="66" t="n">
        <x:v>3.05</x:v>
      </x:c>
      <x:c r="E12" s="66" t="n">
        <x:v>2.57</x:v>
      </x:c>
      <x:c r="F12" s="66" t="n">
        <x:v>2.97</x:v>
      </x:c>
      <x:c r="G12" s="66" t="n">
        <x:v>4.25</x:v>
      </x:c>
      <x:c r="H12" s="66" t="n">
        <x:v>4.44</x:v>
      </x:c>
      <x:c r="I12" s="66" t="n">
        <x:v>4.06</x:v>
      </x:c>
      <x:c r="J12" s="66" t="n">
        <x:v>4.2</x:v>
      </x:c>
      <x:c r="K12" s="66" t="n">
        <x:v>2.83</x:v>
      </x:c>
      <x:c r="L12" s="66" t="n">
        <x:f>K12-B12</x:f>
        <x:v>-0.6299999999999999</x:v>
      </x:c>
      <x:c r="M12" s="67" t="n">
        <x:f>IFERROR(K12/B12-1,0)</x:f>
        <x:v>-0.18208092485549132</x:v>
      </x:c>
      <x:c r="N12" s="66" t="n">
        <x:f>MAX(B12:K12)</x:f>
        <x:v>4.44</x:v>
      </x:c>
      <x:c r="O12" s="68" t="n">
        <x:f>MATCH(N12,B12:K12,0)+2014</x:f>
        <x:v>2021</x:v>
      </x:c>
      <x:c r="P12" s="68" t="n">
        <x:f>RANK(K12,$K$6:$K$55,0)</x:f>
        <x:v>41</x:v>
      </x:c>
    </x:row>
    <x:row r="13">
      <x:c r="A13" s="65" t="str">
        <x:v>Delaware</x:v>
      </x:c>
      <x:c r="B13" s="66" t="n">
        <x:v>6.9</x:v>
      </x:c>
      <x:c r="C13" s="66" t="n">
        <x:v>6.63</x:v>
      </x:c>
      <x:c r="D13" s="66" t="n">
        <x:v>6.58</x:v>
      </x:c>
      <x:c r="E13" s="66" t="n">
        <x:v>5.9</x:v>
      </x:c>
      <x:c r="F13" s="66" t="n">
        <x:v>5.43</x:v>
      </x:c>
      <x:c r="G13" s="66" t="n">
        <x:v>8.67</x:v>
      </x:c>
      <x:c r="H13" s="66" t="n">
        <x:v>10.25</x:v>
      </x:c>
      <x:c r="I13" s="66" t="n">
        <x:v>6.27</x:v>
      </x:c>
      <x:c r="J13" s="66" t="n">
        <x:v>5.31</x:v>
      </x:c>
      <x:c r="K13" s="66" t="n">
        <x:v>6.37</x:v>
      </x:c>
      <x:c r="L13" s="66" t="n">
        <x:f>K13-B13</x:f>
        <x:v>-0.5300000000000002</x:v>
      </x:c>
      <x:c r="M13" s="67" t="n">
        <x:f>IFERROR(K13/B13-1,0)</x:f>
        <x:v>-0.07681159420289863</x:v>
      </x:c>
      <x:c r="N13" s="66" t="n">
        <x:f>MAX(B13:K13)</x:f>
        <x:v>10.25</x:v>
      </x:c>
      <x:c r="O13" s="68" t="n">
        <x:f>MATCH(N13,B13:K13,0)+2014</x:f>
        <x:v>2021</x:v>
      </x:c>
      <x:c r="P13" s="68" t="n">
        <x:f>RANK(K13,$K$6:$K$55,0)</x:f>
        <x:v>18</x:v>
      </x:c>
    </x:row>
    <x:row r="14">
      <x:c r="A14" s="65" t="str">
        <x:v>Florida</x:v>
      </x:c>
      <x:c r="B14" s="66" t="n">
        <x:v>5.98</x:v>
      </x:c>
      <x:c r="C14" s="66" t="n">
        <x:v>6.27</x:v>
      </x:c>
      <x:c r="D14" s="66" t="n">
        <x:v>6.05</x:v>
      </x:c>
      <x:c r="E14" s="66" t="n">
        <x:v>6.19</x:v>
      </x:c>
      <x:c r="F14" s="66" t="n">
        <x:v>6.21</x:v>
      </x:c>
      <x:c r="G14" s="66" t="n">
        <x:v>7.09</x:v>
      </x:c>
      <x:c r="H14" s="66" t="n">
        <x:v>6.72</x:v>
      </x:c>
      <x:c r="I14" s="66" t="n">
        <x:v>6.58</x:v>
      </x:c>
      <x:c r="J14" s="66" t="n">
        <x:v>5.94</x:v>
      </x:c>
      <x:c r="K14" s="66" t="n">
        <x:v>5.06</x:v>
      </x:c>
      <x:c r="L14" s="66" t="n">
        <x:f>K14-B14</x:f>
        <x:v>-0.9200000000000008</x:v>
      </x:c>
      <x:c r="M14" s="67" t="n">
        <x:f>IFERROR(K14/B14-1,0)</x:f>
        <x:v>-0.15384615384615397</x:v>
      </x:c>
      <x:c r="N14" s="66" t="n">
        <x:f>MAX(B14:K14)</x:f>
        <x:v>7.09</x:v>
      </x:c>
      <x:c r="O14" s="68" t="n">
        <x:f>MATCH(N14,B14:K14,0)+2014</x:f>
        <x:v>2020</x:v>
      </x:c>
      <x:c r="P14" s="68" t="n">
        <x:f>RANK(K14,$K$6:$K$55,0)</x:f>
        <x:v>29</x:v>
      </x:c>
    </x:row>
    <x:row r="15">
      <x:c r="A15" s="65" t="str">
        <x:v>Georgia</x:v>
      </x:c>
      <x:c r="B15" s="66" t="n">
        <x:v>7.25</x:v>
      </x:c>
      <x:c r="C15" s="66" t="n">
        <x:v>7.82</x:v>
      </x:c>
      <x:c r="D15" s="66" t="n">
        <x:v>7.78</x:v>
      </x:c>
      <x:c r="E15" s="66" t="n">
        <x:v>7.55</x:v>
      </x:c>
      <x:c r="F15" s="66" t="n">
        <x:v>7.99</x:v>
      </x:c>
      <x:c r="G15" s="66" t="n">
        <x:v>10.18</x:v>
      </x:c>
      <x:c r="H15" s="66" t="n">
        <x:v>11.18</x:v>
      </x:c>
      <x:c r="I15" s="66" t="n">
        <x:v>11.19</x:v>
      </x:c>
      <x:c r="J15" s="66" t="n">
        <x:v>9.64</x:v>
      </x:c>
      <x:c r="K15" s="66" t="n">
        <x:v>8.95</x:v>
      </x:c>
      <x:c r="L15" s="66" t="n">
        <x:f>K15-B15</x:f>
        <x:v>1.6999999999999993</x:v>
      </x:c>
      <x:c r="M15" s="67" t="n">
        <x:f>IFERROR(K15/B15-1,0)</x:f>
        <x:v>0.23448275862068946</x:v>
      </x:c>
      <x:c r="N15" s="66" t="n">
        <x:f>MAX(B15:K15)</x:f>
        <x:v>11.19</x:v>
      </x:c>
      <x:c r="O15" s="68" t="n">
        <x:f>MATCH(N15,B15:K15,0)+2014</x:f>
        <x:v>2022</x:v>
      </x:c>
      <x:c r="P15" s="68" t="n">
        <x:f>RANK(K15,$K$6:$K$55,0)</x:f>
        <x:v>7</x:v>
      </x:c>
    </x:row>
    <x:row r="16">
      <x:c r="A16" s="65" t="str">
        <x:v>Hawaii</x:v>
      </x:c>
      <x:c r="B16" s="66" t="n">
        <x:v>2.18</x:v>
      </x:c>
      <x:c r="C16" s="66" t="n">
        <x:v>2.73</x:v>
      </x:c>
      <x:c r="D16" s="66" t="n">
        <x:v>2.46</x:v>
      </x:c>
      <x:c r="E16" s="66" t="n">
        <x:v>2.81</x:v>
      </x:c>
      <x:c r="F16" s="66" t="n">
        <x:v>2.47</x:v>
      </x:c>
      <x:c r="G16" s="66" t="n">
        <x:v>3.17</x:v>
      </x:c>
      <x:c r="H16" s="66" t="n">
        <x:v>2.7</x:v>
      </x:c>
      <x:c r="I16" s="66" t="n">
        <x:v>2.92</x:v>
      </x:c>
      <x:c r="J16" s="66" t="n">
        <x:v>2.91</x:v>
      </x:c>
      <x:c r="K16" s="66" t="n">
        <x:v>2.7</x:v>
      </x:c>
      <x:c r="L16" s="66" t="n">
        <x:f>K16-B16</x:f>
        <x:v>0.52</x:v>
      </x:c>
      <x:c r="M16" s="67" t="n">
        <x:f>IFERROR(K16/B16-1,0)</x:f>
        <x:v>0.23853211009174302</x:v>
      </x:c>
      <x:c r="N16" s="66" t="n">
        <x:f>MAX(B16:K16)</x:f>
        <x:v>3.17</x:v>
      </x:c>
      <x:c r="O16" s="68" t="n">
        <x:f>MATCH(N16,B16:K16,0)+2014</x:f>
        <x:v>2020</x:v>
      </x:c>
      <x:c r="P16" s="68" t="n">
        <x:f>RANK(K16,$K$6:$K$55,0)</x:f>
        <x:v>43</x:v>
      </x:c>
    </x:row>
    <x:row r="17">
      <x:c r="A17" s="65" t="str">
        <x:v>Idaho</x:v>
      </x:c>
      <x:c r="B17" s="66" t="n">
        <x:v>2</x:v>
      </x:c>
      <x:c r="C17" s="66" t="n">
        <x:v>1.78</x:v>
      </x:c>
      <x:c r="D17" s="66" t="n">
        <x:v>2.91</x:v>
      </x:c>
      <x:c r="E17" s="66" t="n">
        <x:v>2.34</x:v>
      </x:c>
      <x:c r="F17" s="66" t="n">
        <x:v>1.51</x:v>
      </x:c>
      <x:c r="G17" s="66" t="n">
        <x:v>2.27</x:v>
      </x:c>
      <x:c r="H17" s="66" t="n">
        <x:v>2.15</x:v>
      </x:c>
      <x:c r="I17" s="66" t="n">
        <x:v>2.52</x:v>
      </x:c>
      <x:c r="J17" s="66" t="n">
        <x:v>2.49</x:v>
      </x:c>
      <x:c r="K17" s="66" t="n">
        <x:v>1.8</x:v>
      </x:c>
      <x:c r="L17" s="66" t="n">
        <x:f>K17-B17</x:f>
        <x:v>-0.19999999999999996</x:v>
      </x:c>
      <x:c r="M17" s="67" t="n">
        <x:f>IFERROR(K17/B17-1,0)</x:f>
        <x:v>-0.09999999999999998</x:v>
      </x:c>
      <x:c r="N17" s="66" t="n">
        <x:f>MAX(B17:K17)</x:f>
        <x:v>2.91</x:v>
      </x:c>
      <x:c r="O17" s="68" t="n">
        <x:f>MATCH(N17,B17:K17,0)+2014</x:f>
        <x:v>2017</x:v>
      </x:c>
      <x:c r="P17" s="68" t="n">
        <x:f>RANK(K17,$K$6:$K$55,0)</x:f>
        <x:v>48</x:v>
      </x:c>
    </x:row>
    <x:row r="18">
      <x:c r="A18" s="65" t="str">
        <x:v>Illinois</x:v>
      </x:c>
      <x:c r="B18" s="66" t="n">
        <x:v>6.71</x:v>
      </x:c>
      <x:c r="C18" s="66" t="n">
        <x:v>9.02</x:v>
      </x:c>
      <x:c r="D18" s="66" t="n">
        <x:v>8.76</x:v>
      </x:c>
      <x:c r="E18" s="66" t="n">
        <x:v>7.81</x:v>
      </x:c>
      <x:c r="F18" s="66" t="n">
        <x:v>7.73</x:v>
      </x:c>
      <x:c r="G18" s="66" t="n">
        <x:v>10.57</x:v>
      </x:c>
      <x:c r="H18" s="66" t="n">
        <x:v>11.71</x:v>
      </x:c>
      <x:c r="I18" s="66" t="n">
        <x:v>10.4</x:v>
      </x:c>
      <x:c r="J18" s="66" t="n">
        <x:v>9.26</x:v>
      </x:c>
      <x:c r="K18" s="66" t="n">
        <x:v>8.32</x:v>
      </x:c>
      <x:c r="L18" s="66" t="n">
        <x:f>K18-B18</x:f>
        <x:v>1.6100000000000003</x:v>
      </x:c>
      <x:c r="M18" s="67" t="n">
        <x:f>IFERROR(K18/B18-1,0)</x:f>
        <x:v>0.23994038748137103</x:v>
      </x:c>
      <x:c r="N18" s="66" t="n">
        <x:f>MAX(B18:K18)</x:f>
        <x:v>11.71</x:v>
      </x:c>
      <x:c r="O18" s="68" t="n">
        <x:f>MATCH(N18,B18:K18,0)+2014</x:f>
        <x:v>2021</x:v>
      </x:c>
      <x:c r="P18" s="68" t="n">
        <x:f>RANK(K18,$K$6:$K$55,0)</x:f>
        <x:v>10</x:v>
      </x:c>
    </x:row>
    <x:row r="19">
      <x:c r="A19" s="65" t="str">
        <x:v>Indiana</x:v>
      </x:c>
      <x:c r="B19" s="66" t="n">
        <x:v>5.88</x:v>
      </x:c>
      <x:c r="C19" s="66" t="n">
        <x:v>7.23</x:v>
      </x:c>
      <x:c r="D19" s="66" t="n">
        <x:v>6.85</x:v>
      </x:c>
      <x:c r="E19" s="66" t="n">
        <x:v>7.06</x:v>
      </x:c>
      <x:c r="F19" s="66" t="n">
        <x:v>6.92</x:v>
      </x:c>
      <x:c r="G19" s="66" t="n">
        <x:v>9.13</x:v>
      </x:c>
      <x:c r="H19" s="66" t="n">
        <x:v>9.16</x:v>
      </x:c>
      <x:c r="I19" s="66" t="n">
        <x:v>8.08</x:v>
      </x:c>
      <x:c r="J19" s="66" t="n">
        <x:v>7.6</x:v>
      </x:c>
      <x:c r="K19" s="66" t="n">
        <x:v>6.96</x:v>
      </x:c>
      <x:c r="L19" s="66" t="n">
        <x:f>K19-B19</x:f>
        <x:v>1.08</x:v>
      </x:c>
      <x:c r="M19" s="67" t="n">
        <x:f>IFERROR(K19/B19-1,0)</x:f>
        <x:v>0.18367346938775508</x:v>
      </x:c>
      <x:c r="N19" s="66" t="n">
        <x:f>MAX(B19:K19)</x:f>
        <x:v>9.16</x:v>
      </x:c>
      <x:c r="O19" s="68" t="n">
        <x:f>MATCH(N19,B19:K19,0)+2014</x:f>
        <x:v>2021</x:v>
      </x:c>
      <x:c r="P19" s="68" t="n">
        <x:f>RANK(K19,$K$6:$K$55,0)</x:f>
        <x:v>14</x:v>
      </x:c>
    </x:row>
    <x:row r="20">
      <x:c r="A20" s="65" t="str">
        <x:v>Iowa</x:v>
      </x:c>
      <x:c r="B20" s="66" t="n">
        <x:v>2.34</x:v>
      </x:c>
      <x:c r="C20" s="66" t="n">
        <x:v>2.71</x:v>
      </x:c>
      <x:c r="D20" s="66" t="n">
        <x:v>3.31</x:v>
      </x:c>
      <x:c r="E20" s="66" t="n">
        <x:v>2.57</x:v>
      </x:c>
      <x:c r="F20" s="66" t="n">
        <x:v>2.53</x:v>
      </x:c>
      <x:c r="G20" s="66" t="n">
        <x:v>3.32</x:v>
      </x:c>
      <x:c r="H20" s="66" t="n">
        <x:v>2.94</x:v>
      </x:c>
      <x:c r="I20" s="66" t="n">
        <x:v>2.81</x:v>
      </x:c>
      <x:c r="J20" s="66" t="n">
        <x:v>3.14</x:v>
      </x:c>
      <x:c r="K20" s="66" t="n">
        <x:v>3.24</x:v>
      </x:c>
      <x:c r="L20" s="66" t="n">
        <x:f>K20-B20</x:f>
        <x:v>0.9000000000000004</x:v>
      </x:c>
      <x:c r="M20" s="67" t="n">
        <x:f>IFERROR(K20/B20-1,0)</x:f>
        <x:v>0.3846153846153848</x:v>
      </x:c>
      <x:c r="N20" s="66" t="n">
        <x:f>MAX(B20:K20)</x:f>
        <x:v>3.32</x:v>
      </x:c>
      <x:c r="O20" s="68" t="n">
        <x:f>MATCH(N20,B20:K20,0)+2014</x:f>
        <x:v>2020</x:v>
      </x:c>
      <x:c r="P20" s="68" t="n">
        <x:f>RANK(K20,$K$6:$K$55,0)</x:f>
        <x:v>38</x:v>
      </x:c>
    </x:row>
    <x:row r="21">
      <x:c r="A21" s="65" t="str">
        <x:v>Kansas</x:v>
      </x:c>
      <x:c r="B21" s="66" t="n">
        <x:v>4.54</x:v>
      </x:c>
      <x:c r="C21" s="66" t="n">
        <x:v>5.05</x:v>
      </x:c>
      <x:c r="D21" s="66" t="n">
        <x:v>6.36</x:v>
      </x:c>
      <x:c r="E21" s="66" t="n">
        <x:v>5.49</x:v>
      </x:c>
      <x:c r="F21" s="66" t="n">
        <x:v>4.7</x:v>
      </x:c>
      <x:c r="G21" s="66" t="n">
        <x:v>6.64</x:v>
      </x:c>
      <x:c r="H21" s="66" t="n">
        <x:v>6.13</x:v>
      </x:c>
      <x:c r="I21" s="66" t="n">
        <x:v>5.48</x:v>
      </x:c>
      <x:c r="J21" s="66" t="n">
        <x:v>6.3</x:v>
      </x:c>
      <x:c r="K21" s="66" t="n">
        <x:v>5.25</x:v>
      </x:c>
      <x:c r="L21" s="66" t="n">
        <x:f>K21-B21</x:f>
        <x:v>0.71</x:v>
      </x:c>
      <x:c r="M21" s="67" t="n">
        <x:f>IFERROR(K21/B21-1,0)</x:f>
        <x:v>0.15638766519823788</x:v>
      </x:c>
      <x:c r="N21" s="66" t="n">
        <x:f>MAX(B21:K21)</x:f>
        <x:v>6.64</x:v>
      </x:c>
      <x:c r="O21" s="68" t="n">
        <x:f>MATCH(N21,B21:K21,0)+2014</x:f>
        <x:v>2020</x:v>
      </x:c>
      <x:c r="P21" s="68" t="n">
        <x:f>RANK(K21,$K$6:$K$55,0)</x:f>
        <x:v>26</x:v>
      </x:c>
    </x:row>
    <x:row r="22">
      <x:c r="A22" s="65" t="str">
        <x:v>Kentucky</x:v>
      </x:c>
      <x:c r="B22" s="66" t="n">
        <x:v>5.64</x:v>
      </x:c>
      <x:c r="C22" s="66" t="n">
        <x:v>6.8</x:v>
      </x:c>
      <x:c r="D22" s="66" t="n">
        <x:v>6.96</x:v>
      </x:c>
      <x:c r="E22" s="66" t="n">
        <x:v>5.78</x:v>
      </x:c>
      <x:c r="F22" s="66" t="n">
        <x:v>5.59</x:v>
      </x:c>
      <x:c r="G22" s="66" t="n">
        <x:v>8.96</x:v>
      </x:c>
      <x:c r="H22" s="66" t="n">
        <x:v>9.05</x:v>
      </x:c>
      <x:c r="I22" s="66" t="n">
        <x:v>7.7</x:v>
      </x:c>
      <x:c r="J22" s="66" t="n">
        <x:v>6.94</x:v>
      </x:c>
      <x:c r="K22" s="66" t="n">
        <x:v>6.84</x:v>
      </x:c>
      <x:c r="L22" s="66" t="n">
        <x:f>K22-B22</x:f>
        <x:v>1.2000000000000002</x:v>
      </x:c>
      <x:c r="M22" s="67" t="n">
        <x:f>IFERROR(K22/B22-1,0)</x:f>
        <x:v>0.2127659574468086</x:v>
      </x:c>
      <x:c r="N22" s="66" t="n">
        <x:f>MAX(B22:K22)</x:f>
        <x:v>9.05</x:v>
      </x:c>
      <x:c r="O22" s="68" t="n">
        <x:f>MATCH(N22,B22:K22,0)+2014</x:f>
        <x:v>2021</x:v>
      </x:c>
      <x:c r="P22" s="68" t="n">
        <x:f>RANK(K22,$K$6:$K$55,0)</x:f>
        <x:v>16</x:v>
      </x:c>
    </x:row>
    <x:row r="23">
      <x:c r="A23" s="65" t="str">
        <x:v>Louisiana</x:v>
      </x:c>
      <x:c r="B23" s="66" t="n">
        <x:v>12.19</x:v>
      </x:c>
      <x:c r="C23" s="66" t="n">
        <x:v>13.84</x:v>
      </x:c>
      <x:c r="D23" s="66" t="n">
        <x:v>13.97</x:v>
      </x:c>
      <x:c r="E23" s="66" t="n">
        <x:v>12.82</x:v>
      </x:c>
      <x:c r="F23" s="66" t="n">
        <x:v>13.95</x:v>
      </x:c>
      <x:c r="G23" s="66" t="n">
        <x:v>18.77</x:v>
      </x:c>
      <x:c r="H23" s="66" t="n">
        <x:v>20.38</x:v>
      </x:c>
      <x:c r="I23" s="66" t="n">
        <x:v>18.77</x:v>
      </x:c>
      <x:c r="J23" s="66" t="n">
        <x:v>18.24</x:v>
      </x:c>
      <x:c r="K23" s="66" t="n">
        <x:v>14.33</x:v>
      </x:c>
      <x:c r="L23" s="66" t="n">
        <x:f>K23-B23</x:f>
        <x:v>2.1400000000000006</x:v>
      </x:c>
      <x:c r="M23" s="67" t="n">
        <x:f>IFERROR(K23/B23-1,0)</x:f>
        <x:v>0.1755537325676786</x:v>
      </x:c>
      <x:c r="N23" s="66" t="n">
        <x:f>MAX(B23:K23)</x:f>
        <x:v>20.38</x:v>
      </x:c>
      <x:c r="O23" s="68" t="n">
        <x:f>MATCH(N23,B23:K23,0)+2014</x:f>
        <x:v>2021</x:v>
      </x:c>
      <x:c r="P23" s="68" t="n">
        <x:f>RANK(K23,$K$6:$K$55,0)</x:f>
        <x:v>2</x:v>
      </x:c>
    </x:row>
    <x:row r="24">
      <x:c r="A24" s="65" t="str">
        <x:v>Maine</x:v>
      </x:c>
      <x:c r="B24" s="66" t="n">
        <x:v>1.66</x:v>
      </x:c>
      <x:c r="C24" s="66" t="n">
        <x:v>1.43</x:v>
      </x:c>
      <x:c r="D24" s="66" t="n">
        <x:v>1.42</x:v>
      </x:c>
      <x:c r="E24" s="66" t="n">
        <x:v>1.42</x:v>
      </x:c>
      <x:c r="F24" s="66" t="n">
        <x:v>1.71</x:v>
      </x:c>
      <x:c r="G24" s="66" t="n">
        <x:v>1.54</x:v>
      </x:c>
      <x:c r="H24" s="66" t="n">
        <x:v>1.45</x:v>
      </x:c>
      <x:c r="I24" s="66" t="n">
        <x:v>2.3</x:v>
      </x:c>
      <x:c r="J24" s="66" t="n">
        <x:v>3.43</x:v>
      </x:c>
      <x:c r="K24" s="66" t="n">
        <x:v>2.42</x:v>
      </x:c>
      <x:c r="L24" s="66" t="n">
        <x:f>K24-B24</x:f>
        <x:v>0.76</x:v>
      </x:c>
      <x:c r="M24" s="67" t="n">
        <x:f>IFERROR(K24/B24-1,0)</x:f>
        <x:v>0.45783132530120474</x:v>
      </x:c>
      <x:c r="N24" s="66" t="n">
        <x:f>MAX(B24:K24)</x:f>
        <x:v>3.43</x:v>
      </x:c>
      <x:c r="O24" s="68" t="n">
        <x:f>MATCH(N24,B24:K24,0)+2014</x:f>
        <x:v>2023</x:v>
      </x:c>
      <x:c r="P24" s="68" t="n">
        <x:f>RANK(K24,$K$6:$K$55,0)</x:f>
        <x:v>45</x:v>
      </x:c>
    </x:row>
    <x:row r="25">
      <x:c r="A25" s="65" t="str">
        <x:v>Maryland</x:v>
      </x:c>
      <x:c r="B25" s="66" t="n">
        <x:v>9.95</x:v>
      </x:c>
      <x:c r="C25" s="66" t="n">
        <x:v>9.64</x:v>
      </x:c>
      <x:c r="D25" s="66" t="n">
        <x:v>9.74</x:v>
      </x:c>
      <x:c r="E25" s="66" t="n">
        <x:v>8.95</x:v>
      </x:c>
      <x:c r="F25" s="66" t="n">
        <x:v>9.55</x:v>
      </x:c>
      <x:c r="G25" s="66" t="n">
        <x:v>10.51</x:v>
      </x:c>
      <x:c r="H25" s="66" t="n">
        <x:v>11.47</x:v>
      </x:c>
      <x:c r="I25" s="66" t="n">
        <x:v>10.63</x:v>
      </x:c>
      <x:c r="J25" s="66" t="n">
        <x:v>9.36</x:v>
      </x:c>
      <x:c r="K25" s="66" t="n">
        <x:v>8.45</x:v>
      </x:c>
      <x:c r="L25" s="66" t="n">
        <x:f>K25-B25</x:f>
        <x:v>-1.5</x:v>
      </x:c>
      <x:c r="M25" s="67" t="n">
        <x:f>IFERROR(K25/B25-1,0)</x:f>
        <x:v>-0.1507537688442211</x:v>
      </x:c>
      <x:c r="N25" s="66" t="n">
        <x:f>MAX(B25:K25)</x:f>
        <x:v>11.47</x:v>
      </x:c>
      <x:c r="O25" s="68" t="n">
        <x:f>MATCH(N25,B25:K25,0)+2014</x:f>
        <x:v>2021</x:v>
      </x:c>
      <x:c r="P25" s="68" t="n">
        <x:f>RANK(K25,$K$6:$K$55,0)</x:f>
        <x:v>9</x:v>
      </x:c>
    </x:row>
    <x:row r="26">
      <x:c r="A26" s="65" t="str">
        <x:v>Massachusetts</x:v>
      </x:c>
      <x:c r="B26" s="66" t="n">
        <x:v>2.12</x:v>
      </x:c>
      <x:c r="C26" s="66" t="n">
        <x:v>2.01</x:v>
      </x:c>
      <x:c r="D26" s="66" t="n">
        <x:v>2.49</x:v>
      </x:c>
      <x:c r="E26" s="66" t="n">
        <x:v>2.3</x:v>
      </x:c>
      <x:c r="F26" s="66" t="n">
        <x:v>2.28</x:v>
      </x:c>
      <x:c r="G26" s="66" t="n">
        <x:v>2.62</x:v>
      </x:c>
      <x:c r="H26" s="66" t="n">
        <x:v>2.29</x:v>
      </x:c>
      <x:c r="I26" s="66" t="n">
        <x:v>2.44</x:v>
      </x:c>
      <x:c r="J26" s="66" t="n">
        <x:v>2.58</x:v>
      </x:c>
      <x:c r="K26" s="66" t="n">
        <x:v>2.14</x:v>
      </x:c>
      <x:c r="L26" s="66" t="n">
        <x:f>K26-B26</x:f>
        <x:v>0.020000000000000018</x:v>
      </x:c>
      <x:c r="M26" s="67" t="n">
        <x:f>IFERROR(K26/B26-1,0)</x:f>
        <x:v>0.009433962264151052</x:v>
      </x:c>
      <x:c r="N26" s="66" t="n">
        <x:f>MAX(B26:K26)</x:f>
        <x:v>2.62</x:v>
      </x:c>
      <x:c r="O26" s="68" t="n">
        <x:f>MATCH(N26,B26:K26,0)+2014</x:f>
        <x:v>2020</x:v>
      </x:c>
      <x:c r="P26" s="68" t="n">
        <x:f>RANK(K26,$K$6:$K$55,0)</x:f>
        <x:v>47</x:v>
      </x:c>
    </x:row>
    <x:row r="27">
      <x:c r="A27" s="65" t="str">
        <x:v>Michigan</x:v>
      </x:c>
      <x:c r="B27" s="66" t="n">
        <x:v>6.01</x:v>
      </x:c>
      <x:c r="C27" s="66" t="n">
        <x:v>6.27</x:v>
      </x:c>
      <x:c r="D27" s="66" t="n">
        <x:v>5.89</x:v>
      </x:c>
      <x:c r="E27" s="66" t="n">
        <x:v>6.14</x:v>
      </x:c>
      <x:c r="F27" s="66" t="n">
        <x:v>6.13</x:v>
      </x:c>
      <x:c r="G27" s="66" t="n">
        <x:v>8.05</x:v>
      </x:c>
      <x:c r="H27" s="66" t="n">
        <x:v>8.19</x:v>
      </x:c>
      <x:c r="I27" s="66" t="n">
        <x:v>7.97</x:v>
      </x:c>
      <x:c r="J27" s="66" t="n">
        <x:v>6.32</x:v>
      </x:c>
      <x:c r="K27" s="66" t="n">
        <x:v>5.31</x:v>
      </x:c>
      <x:c r="L27" s="66" t="n">
        <x:f>K27-B27</x:f>
        <x:v>-0.7000000000000002</x:v>
      </x:c>
      <x:c r="M27" s="67" t="n">
        <x:f>IFERROR(K27/B27-1,0)</x:f>
        <x:v>-0.11647254575707155</x:v>
      </x:c>
      <x:c r="N27" s="66" t="n">
        <x:f>MAX(B27:K27)</x:f>
        <x:v>8.19</x:v>
      </x:c>
      <x:c r="O27" s="68" t="n">
        <x:f>MATCH(N27,B27:K27,0)+2014</x:f>
        <x:v>2021</x:v>
      </x:c>
      <x:c r="P27" s="68" t="n">
        <x:f>RANK(K27,$K$6:$K$55,0)</x:f>
        <x:v>25</x:v>
      </x:c>
    </x:row>
    <x:row r="28">
      <x:c r="A28" s="65" t="str">
        <x:v>Minnesota</x:v>
      </x:c>
      <x:c r="B28" s="66" t="n">
        <x:v>2.68</x:v>
      </x:c>
      <x:c r="C28" s="66" t="n">
        <x:v>2.34</x:v>
      </x:c>
      <x:c r="D28" s="66" t="n">
        <x:v>2.19</x:v>
      </x:c>
      <x:c r="E28" s="66" t="n">
        <x:v>2.18</x:v>
      </x:c>
      <x:c r="F28" s="66" t="n">
        <x:v>2.73</x:v>
      </x:c>
      <x:c r="G28" s="66" t="n">
        <x:v>3.47</x:v>
      </x:c>
      <x:c r="H28" s="66" t="n">
        <x:v>4.06</x:v>
      </x:c>
      <x:c r="I28" s="66" t="n">
        <x:v>3.62</x:v>
      </x:c>
      <x:c r="J28" s="66" t="n">
        <x:v>3.42</x:v>
      </x:c>
      <x:c r="K28" s="66" t="n">
        <x:v>3.31</x:v>
      </x:c>
      <x:c r="L28" s="66" t="n">
        <x:f>K28-B28</x:f>
        <x:v>0.6299999999999999</x:v>
      </x:c>
      <x:c r="M28" s="67" t="n">
        <x:f>IFERROR(K28/B28-1,0)</x:f>
        <x:v>0.2350746268656716</x:v>
      </x:c>
      <x:c r="N28" s="66" t="n">
        <x:f>MAX(B28:K28)</x:f>
        <x:v>4.06</x:v>
      </x:c>
      <x:c r="O28" s="68" t="n">
        <x:f>MATCH(N28,B28:K28,0)+2014</x:f>
        <x:v>2021</x:v>
      </x:c>
      <x:c r="P28" s="68" t="n">
        <x:f>RANK(K28,$K$6:$K$55,0)</x:f>
        <x:v>37</x:v>
      </x:c>
    </x:row>
    <x:row r="29">
      <x:c r="A29" s="65" t="str">
        <x:v>Mississippi</x:v>
      </x:c>
      <x:c r="B29" s="66" t="n">
        <x:v>10.87</x:v>
      </x:c>
      <x:c r="C29" s="66" t="n">
        <x:v>11.54</x:v>
      </x:c>
      <x:c r="D29" s="66" t="n">
        <x:v>12.04</x:v>
      </x:c>
      <x:c r="E29" s="66" t="n">
        <x:v>12.81</x:v>
      </x:c>
      <x:c r="F29" s="66" t="n">
        <x:v>14.57</x:v>
      </x:c>
      <x:c r="G29" s="66" t="n">
        <x:v>19.47</x:v>
      </x:c>
      <x:c r="H29" s="66" t="n">
        <x:v>22.26</x:v>
      </x:c>
      <x:c r="I29" s="66" t="n">
        <x:v>19.58</x:v>
      </x:c>
      <x:c r="J29" s="66" t="n">
        <x:v>18.45</x:v>
      </x:c>
      <x:c r="K29" s="66" t="n">
        <x:v>18.62</x:v>
      </x:c>
      <x:c r="L29" s="66" t="n">
        <x:f>K29-B29</x:f>
        <x:v>7.750000000000002</x:v>
      </x:c>
      <x:c r="M29" s="67" t="n">
        <x:f>IFERROR(K29/B29-1,0)</x:f>
        <x:v>0.7129714811407546</x:v>
      </x:c>
      <x:c r="N29" s="66" t="n">
        <x:f>MAX(B29:K29)</x:f>
        <x:v>22.26</x:v>
      </x:c>
      <x:c r="O29" s="68" t="n">
        <x:f>MATCH(N29,B29:K29,0)+2014</x:f>
        <x:v>2021</x:v>
      </x:c>
      <x:c r="P29" s="68" t="n">
        <x:f>RANK(K29,$K$6:$K$55,0)</x:f>
        <x:v>1</x:v>
      </x:c>
    </x:row>
    <x:row r="30">
      <x:c r="A30" s="65" t="str">
        <x:v>Missouri</x:v>
      </x:c>
      <x:c r="B30" s="66" t="n">
        <x:v>9</x:v>
      </x:c>
      <x:c r="C30" s="66" t="n">
        <x:v>9.36</x:v>
      </x:c>
      <x:c r="D30" s="66" t="n">
        <x:v>10.72</x:v>
      </x:c>
      <x:c r="E30" s="66" t="n">
        <x:v>10.74</x:v>
      </x:c>
      <x:c r="F30" s="66" t="n">
        <x:v>10.23</x:v>
      </x:c>
      <x:c r="G30" s="66" t="n">
        <x:v>13.05</x:v>
      </x:c>
      <x:c r="H30" s="66" t="n">
        <x:v>11.6</x:v>
      </x:c>
      <x:c r="I30" s="66" t="n">
        <x:v>12.04</x:v>
      </x:c>
      <x:c r="J30" s="66" t="n">
        <x:v>9.86</x:v>
      </x:c>
      <x:c r="K30" s="66" t="n">
        <x:v>8.89</x:v>
      </x:c>
      <x:c r="L30" s="66" t="n">
        <x:f>K30-B30</x:f>
        <x:v>-0.10999999999999943</x:v>
      </x:c>
      <x:c r="M30" s="67" t="n">
        <x:f>IFERROR(K30/B30-1,0)</x:f>
        <x:v>-0.012222222222222134</x:v>
      </x:c>
      <x:c r="N30" s="66" t="n">
        <x:f>MAX(B30:K30)</x:f>
        <x:v>13.05</x:v>
      </x:c>
      <x:c r="O30" s="68" t="n">
        <x:f>MATCH(N30,B30:K30,0)+2014</x:f>
        <x:v>2020</x:v>
      </x:c>
      <x:c r="P30" s="68" t="n">
        <x:f>RANK(K30,$K$6:$K$55,0)</x:f>
        <x:v>8</x:v>
      </x:c>
    </x:row>
    <x:row r="31">
      <x:c r="A31" s="65" t="str">
        <x:v>Montana</x:v>
      </x:c>
      <x:c r="B31" s="66" t="n">
        <x:v>3.68</x:v>
      </x:c>
      <x:c r="C31" s="66" t="n">
        <x:v>4.03</x:v>
      </x:c>
      <x:c r="D31" s="66" t="n">
        <x:v>3.99</x:v>
      </x:c>
      <x:c r="E31" s="66" t="n">
        <x:v>3.96</x:v>
      </x:c>
      <x:c r="F31" s="66" t="n">
        <x:v>3.64</x:v>
      </x:c>
      <x:c r="G31" s="66" t="n">
        <x:v>5.98</x:v>
      </x:c>
      <x:c r="H31" s="66" t="n">
        <x:v>4.16</x:v>
      </x:c>
      <x:c r="I31" s="66" t="n">
        <x:v>5.08</x:v>
      </x:c>
      <x:c r="J31" s="66" t="n">
        <x:v>4.42</x:v>
      </x:c>
      <x:c r="K31" s="66" t="n">
        <x:v>4.22</x:v>
      </x:c>
      <x:c r="L31" s="66" t="n">
        <x:f>K31-B31</x:f>
        <x:v>0.5399999999999996</x:v>
      </x:c>
      <x:c r="M31" s="67" t="n">
        <x:f>IFERROR(K31/B31-1,0)</x:f>
        <x:v>0.14673913043478248</x:v>
      </x:c>
      <x:c r="N31" s="66" t="n">
        <x:f>MAX(B31:K31)</x:f>
        <x:v>5.98</x:v>
      </x:c>
      <x:c r="O31" s="68" t="n">
        <x:f>MATCH(N31,B31:K31,0)+2014</x:f>
        <x:v>2020</x:v>
      </x:c>
      <x:c r="P31" s="68" t="n">
        <x:f>RANK(K31,$K$6:$K$55,0)</x:f>
        <x:v>34</x:v>
      </x:c>
    </x:row>
    <x:row r="32">
      <x:c r="A32" s="65" t="str">
        <x:v>Nebraska</x:v>
      </x:c>
      <x:c r="B32" s="66" t="n">
        <x:v>3.96</x:v>
      </x:c>
      <x:c r="C32" s="66" t="n">
        <x:v>3.15</x:v>
      </x:c>
      <x:c r="D32" s="66" t="n">
        <x:v>2.61</x:v>
      </x:c>
      <x:c r="E32" s="66" t="n">
        <x:v>1.82</x:v>
      </x:c>
      <x:c r="F32" s="66" t="n">
        <x:v>3</x:v>
      </x:c>
      <x:c r="G32" s="66" t="n">
        <x:v>3.87</x:v>
      </x:c>
      <x:c r="H32" s="66" t="n">
        <x:v>3.56</x:v>
      </x:c>
      <x:c r="I32" s="66" t="n">
        <x:v>3.7</x:v>
      </x:c>
      <x:c r="J32" s="66" t="n">
        <x:v>3.22</x:v>
      </x:c>
      <x:c r="K32" s="66" t="n">
        <x:v>2.94</x:v>
      </x:c>
      <x:c r="L32" s="66" t="n">
        <x:f>K32-B32</x:f>
        <x:v>-1.02</x:v>
      </x:c>
      <x:c r="M32" s="67" t="n">
        <x:f>IFERROR(K32/B32-1,0)</x:f>
        <x:v>-0.25757575757575757</x:v>
      </x:c>
      <x:c r="N32" s="66" t="n">
        <x:f>MAX(B32:K32)</x:f>
        <x:v>3.96</x:v>
      </x:c>
      <x:c r="O32" s="68" t="n">
        <x:f>MATCH(N32,B32:K32,0)+2014</x:f>
        <x:v>2015</x:v>
      </x:c>
      <x:c r="P32" s="68" t="n">
        <x:f>RANK(K32,$K$6:$K$55,0)</x:f>
        <x:v>40</x:v>
      </x:c>
    </x:row>
    <x:row r="33">
      <x:c r="A33" s="65" t="str">
        <x:v>Nevada</x:v>
      </x:c>
      <x:c r="B33" s="66" t="n">
        <x:v>6.66</x:v>
      </x:c>
      <x:c r="C33" s="66" t="n">
        <x:v>7.23</x:v>
      </x:c>
      <x:c r="D33" s="66" t="n">
        <x:v>7.44</x:v>
      </x:c>
      <x:c r="E33" s="66" t="n">
        <x:v>7.42</x:v>
      </x:c>
      <x:c r="F33" s="66" t="n">
        <x:v>5.37</x:v>
      </x:c>
      <x:c r="G33" s="66" t="n">
        <x:v>6.96</x:v>
      </x:c>
      <x:c r="H33" s="66" t="n">
        <x:v>8.39</x:v>
      </x:c>
      <x:c r="I33" s="66" t="n">
        <x:v>7.68</x:v>
      </x:c>
      <x:c r="J33" s="66" t="n">
        <x:v>8.03</x:v>
      </x:c>
      <x:c r="K33" s="66" t="n">
        <x:v>6.76</x:v>
      </x:c>
      <x:c r="L33" s="66" t="n">
        <x:f>K33-B33</x:f>
        <x:v>0.09999999999999964</x:v>
      </x:c>
      <x:c r="M33" s="67" t="n">
        <x:f>IFERROR(K33/B33-1,0)</x:f>
        <x:v>0.01501501501501501</x:v>
      </x:c>
      <x:c r="N33" s="66" t="n">
        <x:f>MAX(B33:K33)</x:f>
        <x:v>8.39</x:v>
      </x:c>
      <x:c r="O33" s="68" t="n">
        <x:f>MATCH(N33,B33:K33,0)+2014</x:f>
        <x:v>2021</x:v>
      </x:c>
      <x:c r="P33" s="68" t="n">
        <x:f>RANK(K33,$K$6:$K$55,0)</x:f>
        <x:v>17</x:v>
      </x:c>
    </x:row>
    <x:row r="34">
      <x:c r="A34" s="65" t="str">
        <x:v>New Hampshire</x:v>
      </x:c>
      <x:c r="B34" s="66" t="n">
        <x:v>1.35</x:v>
      </x:c>
      <x:c r="C34" s="66" t="n">
        <x:v>1.34</x:v>
      </x:c>
      <x:c r="D34" s="66" t="n">
        <x:v>1.26</x:v>
      </x:c>
      <x:c r="E34" s="66" t="n">
        <x:v>1.55</x:v>
      </x:c>
      <x:c r="F34" s="66" t="n">
        <x:v>2.79</x:v>
      </x:c>
      <x:c r="G34" s="66" t="n">
        <x:v>1.02</x:v>
      </x:c>
      <x:c r="H34" s="66" t="n">
        <x:v>1.08</x:v>
      </x:c>
      <x:c r="I34" s="66" t="n">
        <x:v>1.79</x:v>
      </x:c>
      <x:c r="J34" s="66" t="n">
        <x:v>2.07</x:v>
      </x:c>
      <x:c r="K34" s="66" t="n">
        <x:v>1.28</x:v>
      </x:c>
      <x:c r="L34" s="66" t="n">
        <x:f>K34-B34</x:f>
        <x:v>-0.07000000000000006</x:v>
      </x:c>
      <x:c r="M34" s="67" t="n">
        <x:f>IFERROR(K34/B34-1,0)</x:f>
        <x:v>-0.05185185185185193</x:v>
      </x:c>
      <x:c r="N34" s="66" t="n">
        <x:f>MAX(B34:K34)</x:f>
        <x:v>2.79</x:v>
      </x:c>
      <x:c r="O34" s="68" t="n">
        <x:f>MATCH(N34,B34:K34,0)+2014</x:f>
        <x:v>2019</x:v>
      </x:c>
      <x:c r="P34" s="68" t="n">
        <x:f>RANK(K34,$K$6:$K$55,0)</x:f>
        <x:v>50</x:v>
      </x:c>
    </x:row>
    <x:row r="35">
      <x:c r="A35" s="65" t="str">
        <x:v>New Jersey</x:v>
      </x:c>
      <x:c r="B35" s="66" t="n">
        <x:v>4.37</x:v>
      </x:c>
      <x:c r="C35" s="66" t="n">
        <x:v>4.45</x:v>
      </x:c>
      <x:c r="D35" s="66" t="n">
        <x:v>3.96</x:v>
      </x:c>
      <x:c r="E35" s="66" t="n">
        <x:v>3.5</x:v>
      </x:c>
      <x:c r="F35" s="66" t="n">
        <x:v>3.23</x:v>
      </x:c>
      <x:c r="G35" s="66" t="n">
        <x:v>3.9</x:v>
      </x:c>
      <x:c r="H35" s="66" t="n">
        <x:v>4.41</x:v>
      </x:c>
      <x:c r="I35" s="66" t="n">
        <x:v>3.57</x:v>
      </x:c>
      <x:c r="J35" s="66" t="n">
        <x:v>3.12</x:v>
      </x:c>
      <x:c r="K35" s="66" t="n">
        <x:v>2.78</x:v>
      </x:c>
      <x:c r="L35" s="66" t="n">
        <x:f>K35-B35</x:f>
        <x:v>-1.5900000000000003</x:v>
      </x:c>
      <x:c r="M35" s="67" t="n">
        <x:f>IFERROR(K35/B35-1,0)</x:f>
        <x:v>-0.3638443935926774</x:v>
      </x:c>
      <x:c r="N35" s="66" t="n">
        <x:f>MAX(B35:K35)</x:f>
        <x:v>4.45</x:v>
      </x:c>
      <x:c r="O35" s="68" t="n">
        <x:f>MATCH(N35,B35:K35,0)+2014</x:f>
        <x:v>2016</x:v>
      </x:c>
      <x:c r="P35" s="68" t="n">
        <x:f>RANK(K35,$K$6:$K$55,0)</x:f>
        <x:v>42</x:v>
      </x:c>
    </x:row>
    <x:row r="36">
      <x:c r="A36" s="65" t="str">
        <x:v>New Mexico</x:v>
      </x:c>
      <x:c r="B36" s="66" t="n">
        <x:v>7.51</x:v>
      </x:c>
      <x:c r="C36" s="66" t="n">
        <x:v>8.84</x:v>
      </x:c>
      <x:c r="D36" s="66" t="n">
        <x:v>8.27</x:v>
      </x:c>
      <x:c r="E36" s="66" t="n">
        <x:v>10.27</x:v>
      </x:c>
      <x:c r="F36" s="66" t="n">
        <x:v>10.95</x:v>
      </x:c>
      <x:c r="G36" s="66" t="n">
        <x:v>10.2</x:v>
      </x:c>
      <x:c r="H36" s="66" t="n">
        <x:v>14.45</x:v>
      </x:c>
      <x:c r="I36" s="66" t="n">
        <x:v>13.72</x:v>
      </x:c>
      <x:c r="J36" s="66" t="n">
        <x:v>13.67</x:v>
      </x:c>
      <x:c r="K36" s="66" t="n">
        <x:v>12.58</x:v>
      </x:c>
      <x:c r="L36" s="66" t="n">
        <x:f>K36-B36</x:f>
        <x:v>5.07</x:v>
      </x:c>
      <x:c r="M36" s="67" t="n">
        <x:f>IFERROR(K36/B36-1,0)</x:f>
        <x:v>0.6750998668442079</x:v>
      </x:c>
      <x:c r="N36" s="66" t="n">
        <x:f>MAX(B36:K36)</x:f>
        <x:v>14.45</x:v>
      </x:c>
      <x:c r="O36" s="68" t="n">
        <x:f>MATCH(N36,B36:K36,0)+2014</x:f>
        <x:v>2021</x:v>
      </x:c>
      <x:c r="P36" s="68" t="n">
        <x:f>RANK(K36,$K$6:$K$55,0)</x:f>
        <x:v>3</x:v>
      </x:c>
    </x:row>
    <x:row r="37">
      <x:c r="A37" s="65" t="str">
        <x:v>New York</x:v>
      </x:c>
      <x:c r="B37" s="66" t="n">
        <x:v>3.41</x:v>
      </x:c>
      <x:c r="C37" s="66" t="n">
        <x:v>3.54</x:v>
      </x:c>
      <x:c r="D37" s="66" t="n">
        <x:v>2.95</x:v>
      </x:c>
      <x:c r="E37" s="66" t="n">
        <x:v>3.13</x:v>
      </x:c>
      <x:c r="F37" s="66" t="n">
        <x:v>3.09</x:v>
      </x:c>
      <x:c r="G37" s="66" t="n">
        <x:v>4.35</x:v>
      </x:c>
      <x:c r="H37" s="66" t="n">
        <x:v>4.63</x:v>
      </x:c>
      <x:c r="I37" s="66" t="n">
        <x:v>4.33</x:v>
      </x:c>
      <x:c r="J37" s="66" t="n">
        <x:v>3.78</x:v>
      </x:c>
      <x:c r="K37" s="66" t="n">
        <x:v>3.49</x:v>
      </x:c>
      <x:c r="L37" s="66" t="n">
        <x:f>K37-B37</x:f>
        <x:v>0.08000000000000007</x:v>
      </x:c>
      <x:c r="M37" s="67" t="n">
        <x:f>IFERROR(K37/B37-1,0)</x:f>
        <x:v>0.02346041055718473</x:v>
      </x:c>
      <x:c r="N37" s="66" t="n">
        <x:f>MAX(B37:K37)</x:f>
        <x:v>4.63</x:v>
      </x:c>
      <x:c r="O37" s="68" t="n">
        <x:f>MATCH(N37,B37:K37,0)+2014</x:f>
        <x:v>2021</x:v>
      </x:c>
      <x:c r="P37" s="68" t="n">
        <x:f>RANK(K37,$K$6:$K$55,0)</x:f>
        <x:v>36</x:v>
      </x:c>
    </x:row>
    <x:row r="38">
      <x:c r="A38" s="65" t="str">
        <x:v>North Carolina</x:v>
      </x:c>
      <x:c r="B38" s="66" t="n">
        <x:v>5.91</x:v>
      </x:c>
      <x:c r="C38" s="66" t="n">
        <x:v>7.23</x:v>
      </x:c>
      <x:c r="D38" s="66" t="n">
        <x:v>6.61</x:v>
      </x:c>
      <x:c r="E38" s="66" t="n">
        <x:v>6.23</x:v>
      </x:c>
      <x:c r="F38" s="66" t="n">
        <x:v>6.73</x:v>
      </x:c>
      <x:c r="G38" s="66" t="n">
        <x:v>8.46</x:v>
      </x:c>
      <x:c r="H38" s="66" t="n">
        <x:v>9.38</x:v>
      </x:c>
      <x:c r="I38" s="66" t="n">
        <x:v>8.91</x:v>
      </x:c>
      <x:c r="J38" s="66" t="n">
        <x:v>8.15</x:v>
      </x:c>
      <x:c r="K38" s="66" t="n">
        <x:v>7.55</x:v>
      </x:c>
      <x:c r="L38" s="66" t="n">
        <x:f>K38-B38</x:f>
        <x:v>1.6399999999999997</x:v>
      </x:c>
      <x:c r="M38" s="67" t="n">
        <x:f>IFERROR(K38/B38-1,0)</x:f>
        <x:v>0.27749576988155655</x:v>
      </x:c>
      <x:c r="N38" s="66" t="n">
        <x:f>MAX(B38:K38)</x:f>
        <x:v>9.38</x:v>
      </x:c>
      <x:c r="O38" s="68" t="n">
        <x:f>MATCH(N38,B38:K38,0)+2014</x:f>
        <x:v>2021</x:v>
      </x:c>
      <x:c r="P38" s="68" t="n">
        <x:f>RANK(K38,$K$6:$K$55,0)</x:f>
        <x:v>13</x:v>
      </x:c>
    </x:row>
    <x:row r="39">
      <x:c r="A39" s="65" t="str">
        <x:v>North Dakota</x:v>
      </x:c>
      <x:c r="B39" s="66" t="n">
        <x:v>2.91</x:v>
      </x:c>
      <x:c r="C39" s="66" t="n">
        <x:v>2.25</x:v>
      </x:c>
      <x:c r="D39" s="66" t="n">
        <x:v>1.98</x:v>
      </x:c>
      <x:c r="E39" s="66" t="n">
        <x:v>2.63</x:v>
      </x:c>
      <x:c r="F39" s="66" t="n">
        <x:v>2.75</x:v>
      </x:c>
      <x:c r="G39" s="66" t="n">
        <x:v>3.85</x:v>
      </x:c>
      <x:c r="H39" s="66" t="n">
        <x:v>3.09</x:v>
      </x:c>
      <x:c r="I39" s="66" t="n">
        <x:v>3.59</x:v>
      </x:c>
      <x:c r="J39" s="66" t="n">
        <x:v>3.04</x:v>
      </x:c>
      <x:c r="K39" s="66" t="n">
        <x:v>2.51</x:v>
      </x:c>
      <x:c r="L39" s="66" t="n">
        <x:f>K39-B39</x:f>
        <x:v>-0.40000000000000036</x:v>
      </x:c>
      <x:c r="M39" s="67" t="n">
        <x:f>IFERROR(K39/B39-1,0)</x:f>
        <x:v>-0.13745704467353959</x:v>
      </x:c>
      <x:c r="N39" s="66" t="n">
        <x:f>MAX(B39:K39)</x:f>
        <x:v>3.85</x:v>
      </x:c>
      <x:c r="O39" s="68" t="n">
        <x:f>MATCH(N39,B39:K39,0)+2014</x:f>
        <x:v>2020</x:v>
      </x:c>
      <x:c r="P39" s="68" t="n">
        <x:f>RANK(K39,$K$6:$K$55,0)</x:f>
        <x:v>44</x:v>
      </x:c>
    </x:row>
    <x:row r="40">
      <x:c r="A40" s="65" t="str">
        <x:v>Ohio</x:v>
      </x:c>
      <x:c r="B40" s="66" t="n">
        <x:v>5.76</x:v>
      </x:c>
      <x:c r="C40" s="66" t="n">
        <x:v>6.19</x:v>
      </x:c>
      <x:c r="D40" s="66" t="n">
        <x:v>7.1</x:v>
      </x:c>
      <x:c r="E40" s="66" t="n">
        <x:v>6.51</x:v>
      </x:c>
      <x:c r="F40" s="66" t="n">
        <x:v>6.19</x:v>
      </x:c>
      <x:c r="G40" s="66" t="n">
        <x:v>8.51</x:v>
      </x:c>
      <x:c r="H40" s="66" t="n">
        <x:v>8.67</x:v>
      </x:c>
      <x:c r="I40" s="66" t="n">
        <x:v>7.89</x:v>
      </x:c>
      <x:c r="J40" s="66" t="n">
        <x:v>7.35</x:v>
      </x:c>
      <x:c r="K40" s="66" t="n">
        <x:v>6.26</x:v>
      </x:c>
      <x:c r="L40" s="66" t="n">
        <x:f>K40-B40</x:f>
        <x:v>0.5</x:v>
      </x:c>
      <x:c r="M40" s="67" t="n">
        <x:f>IFERROR(K40/B40-1,0)</x:f>
        <x:v>0.08680555555555558</x:v>
      </x:c>
      <x:c r="N40" s="66" t="n">
        <x:f>MAX(B40:K40)</x:f>
        <x:v>8.67</x:v>
      </x:c>
      <x:c r="O40" s="68" t="n">
        <x:f>MATCH(N40,B40:K40,0)+2014</x:f>
        <x:v>2021</x:v>
      </x:c>
      <x:c r="P40" s="68" t="n">
        <x:f>RANK(K40,$K$6:$K$55,0)</x:f>
        <x:v>19</x:v>
      </x:c>
    </x:row>
    <x:row r="41">
      <x:c r="A41" s="65" t="str">
        <x:v>Oklahoma</x:v>
      </x:c>
      <x:c r="B41" s="66" t="n">
        <x:v>8.29</x:v>
      </x:c>
      <x:c r="C41" s="66" t="n">
        <x:v>8.2</x:v>
      </x:c>
      <x:c r="D41" s="66" t="n">
        <x:v>8.08</x:v>
      </x:c>
      <x:c r="E41" s="66" t="n">
        <x:v>6.72</x:v>
      </x:c>
      <x:c r="F41" s="66" t="n">
        <x:v>8.41</x:v>
      </x:c>
      <x:c r="G41" s="66" t="n">
        <x:v>8.63</x:v>
      </x:c>
      <x:c r="H41" s="66" t="n">
        <x:v>8.57</x:v>
      </x:c>
      <x:c r="I41" s="66" t="n">
        <x:v>7.87</x:v>
      </x:c>
      <x:c r="J41" s="66" t="n">
        <x:v>7.21</x:v>
      </x:c>
      <x:c r="K41" s="66" t="n">
        <x:v>6.91</x:v>
      </x:c>
      <x:c r="L41" s="66" t="n">
        <x:f>K41-B41</x:f>
        <x:v>-1.379999999999999</x:v>
      </x:c>
      <x:c r="M41" s="67" t="n">
        <x:f>IFERROR(K41/B41-1,0)</x:f>
        <x:v>-0.166465621230398</x:v>
      </x:c>
      <x:c r="N41" s="66" t="n">
        <x:f>MAX(B41:K41)</x:f>
        <x:v>8.63</x:v>
      </x:c>
      <x:c r="O41" s="68" t="n">
        <x:f>MATCH(N41,B41:K41,0)+2014</x:f>
        <x:v>2020</x:v>
      </x:c>
      <x:c r="P41" s="68" t="n">
        <x:f>RANK(K41,$K$6:$K$55,0)</x:f>
        <x:v>15</x:v>
      </x:c>
    </x:row>
    <x:row r="42">
      <x:c r="A42" s="65" t="str">
        <x:v>Oregon</x:v>
      </x:c>
      <x:c r="B42" s="66" t="n">
        <x:v>3.43</x:v>
      </x:c>
      <x:c r="C42" s="66" t="n">
        <x:v>3.15</x:v>
      </x:c>
      <x:c r="D42" s="66" t="n">
        <x:v>3.06</x:v>
      </x:c>
      <x:c r="E42" s="66" t="n">
        <x:v>2.44</x:v>
      </x:c>
      <x:c r="F42" s="66" t="n">
        <x:v>2.99</x:v>
      </x:c>
      <x:c r="G42" s="66" t="n">
        <x:v>3.7</x:v>
      </x:c>
      <x:c r="H42" s="66" t="n">
        <x:v>4.8</x:v>
      </x:c>
      <x:c r="I42" s="66" t="n">
        <x:v>4.99</x:v>
      </x:c>
      <x:c r="J42" s="66" t="n">
        <x:v>4.42</x:v>
      </x:c>
      <x:c r="K42" s="66" t="n">
        <x:v>4</x:v>
      </x:c>
      <x:c r="L42" s="66" t="n">
        <x:f>K42-B42</x:f>
        <x:v>0.5699999999999998</x:v>
      </x:c>
      <x:c r="M42" s="67" t="n">
        <x:f>IFERROR(K42/B42-1,0)</x:f>
        <x:v>0.16618075801749255</x:v>
      </x:c>
      <x:c r="N42" s="66" t="n">
        <x:f>MAX(B42:K42)</x:f>
        <x:v>4.99</x:v>
      </x:c>
      <x:c r="O42" s="68" t="n">
        <x:f>MATCH(N42,B42:K42,0)+2014</x:f>
        <x:v>2022</x:v>
      </x:c>
      <x:c r="P42" s="68" t="n">
        <x:f>RANK(K42,$K$6:$K$55,0)</x:f>
        <x:v>35</x:v>
      </x:c>
    </x:row>
    <x:row r="43">
      <x:c r="A43" s="65" t="str">
        <x:v>Pennsylvania</x:v>
      </x:c>
      <x:c r="B43" s="66" t="n">
        <x:v>5.26</x:v>
      </x:c>
      <x:c r="C43" s="66" t="n">
        <x:v>5.65</x:v>
      </x:c>
      <x:c r="D43" s="66" t="n">
        <x:v>6.18</x:v>
      </x:c>
      <x:c r="E43" s="66" t="n">
        <x:v>6.1</x:v>
      </x:c>
      <x:c r="F43" s="66" t="n">
        <x:v>5.64</x:v>
      </x:c>
      <x:c r="G43" s="66" t="n">
        <x:v>7.65</x:v>
      </x:c>
      <x:c r="H43" s="66" t="n">
        <x:v>8.46</x:v>
      </x:c>
      <x:c r="I43" s="66" t="n">
        <x:v>8.23</x:v>
      </x:c>
      <x:c r="J43" s="66" t="n">
        <x:v>7.02</x:v>
      </x:c>
      <x:c r="K43" s="66" t="n">
        <x:v>5.23</x:v>
      </x:c>
      <x:c r="L43" s="66" t="n">
        <x:f>K43-B43</x:f>
        <x:v>-0.02999999999999936</x:v>
      </x:c>
      <x:c r="M43" s="67" t="n">
        <x:f>IFERROR(K43/B43-1,0)</x:f>
        <x:v>-0.005703422053231821</x:v>
      </x:c>
      <x:c r="N43" s="66" t="n">
        <x:f>MAX(B43:K43)</x:f>
        <x:v>8.46</x:v>
      </x:c>
      <x:c r="O43" s="68" t="n">
        <x:f>MATCH(N43,B43:K43,0)+2014</x:f>
        <x:v>2021</x:v>
      </x:c>
      <x:c r="P43" s="68" t="n">
        <x:f>RANK(K43,$K$6:$K$55,0)</x:f>
        <x:v>27</x:v>
      </x:c>
    </x:row>
    <x:row r="44">
      <x:c r="A44" s="65" t="str">
        <x:v>Rhode Island</x:v>
      </x:c>
      <x:c r="B44" s="66" t="n">
        <x:v>2.65</x:v>
      </x:c>
      <x:c r="C44" s="66" t="n">
        <x:v>2.36</x:v>
      </x:c>
      <x:c r="D44" s="66" t="n">
        <x:v>1.8</x:v>
      </x:c>
      <x:c r="E44" s="66" t="n">
        <x:v>1.51</x:v>
      </x:c>
      <x:c r="F44" s="66" t="n">
        <x:v>2.17</x:v>
      </x:c>
      <x:c r="G44" s="66" t="n">
        <x:v>2.65</x:v>
      </x:c>
      <x:c r="H44" s="66" t="n">
        <x:v>3.65</x:v>
      </x:c>
      <x:c r="I44" s="66" t="n">
        <x:v>2</x:v>
      </x:c>
      <x:c r="J44" s="66" t="n">
        <x:v>2.72</x:v>
      </x:c>
      <x:c r="K44" s="66" t="n">
        <x:v>1.8</x:v>
      </x:c>
      <x:c r="L44" s="66" t="n">
        <x:f>K44-B44</x:f>
        <x:v>-0.8499999999999999</x:v>
      </x:c>
      <x:c r="M44" s="67" t="n">
        <x:f>IFERROR(K44/B44-1,0)</x:f>
        <x:v>-0.320754716981132</x:v>
      </x:c>
      <x:c r="N44" s="66" t="n">
        <x:f>MAX(B44:K44)</x:f>
        <x:v>3.65</x:v>
      </x:c>
      <x:c r="O44" s="68" t="n">
        <x:f>MATCH(N44,B44:K44,0)+2014</x:f>
        <x:v>2021</x:v>
      </x:c>
      <x:c r="P44" s="68" t="n">
        <x:f>RANK(K44,$K$6:$K$55,0)</x:f>
        <x:v>48</x:v>
      </x:c>
    </x:row>
    <x:row r="45">
      <x:c r="A45" s="65" t="str">
        <x:v>South Carolina</x:v>
      </x:c>
      <x:c r="B45" s="66" t="n">
        <x:v>9.15</x:v>
      </x:c>
      <x:c r="C45" s="66" t="n">
        <x:v>8.58</x:v>
      </x:c>
      <x:c r="D45" s="66" t="n">
        <x:v>8.83</x:v>
      </x:c>
      <x:c r="E45" s="66" t="n">
        <x:v>9.45</x:v>
      </x:c>
      <x:c r="F45" s="66" t="n">
        <x:v>10.22</x:v>
      </x:c>
      <x:c r="G45" s="66" t="n">
        <x:v>12.12</x:v>
      </x:c>
      <x:c r="H45" s="66" t="n">
        <x:v>12.63</x:v>
      </x:c>
      <x:c r="I45" s="66" t="n">
        <x:v>11.25</x:v>
      </x:c>
      <x:c r="J45" s="66" t="n">
        <x:v>10.47</x:v>
      </x:c>
      <x:c r="K45" s="66" t="n">
        <x:v>9.22</x:v>
      </x:c>
      <x:c r="L45" s="66" t="n">
        <x:f>K45-B45</x:f>
        <x:v>0.07000000000000028</x:v>
      </x:c>
      <x:c r="M45" s="67" t="n">
        <x:f>IFERROR(K45/B45-1,0)</x:f>
        <x:v>0.007650273224043769</x:v>
      </x:c>
      <x:c r="N45" s="66" t="n">
        <x:f>MAX(B45:K45)</x:f>
        <x:v>12.63</x:v>
      </x:c>
      <x:c r="O45" s="68" t="n">
        <x:f>MATCH(N45,B45:K45,0)+2014</x:f>
        <x:v>2021</x:v>
      </x:c>
      <x:c r="P45" s="68" t="n">
        <x:f>RANK(K45,$K$6:$K$55,0)</x:f>
        <x:v>6</x:v>
      </x:c>
    </x:row>
    <x:row r="46">
      <x:c r="A46" s="65" t="str">
        <x:v>South Dakota</x:v>
      </x:c>
      <x:c r="B46" s="66" t="n">
        <x:v>4.1</x:v>
      </x:c>
      <x:c r="C46" s="66" t="n">
        <x:v>4.4</x:v>
      </x:c>
      <x:c r="D46" s="66" t="n">
        <x:v>3.89</x:v>
      </x:c>
      <x:c r="E46" s="66" t="n">
        <x:v>3.64</x:v>
      </x:c>
      <x:c r="F46" s="66" t="n">
        <x:v>3.27</x:v>
      </x:c>
      <x:c r="G46" s="66" t="n">
        <x:v>5.86</x:v>
      </x:c>
      <x:c r="H46" s="66" t="n">
        <x:v>5.02</x:v>
      </x:c>
      <x:c r="I46" s="66" t="n">
        <x:v>6.16</x:v>
      </x:c>
      <x:c r="J46" s="66" t="n">
        <x:v>4.14</x:v>
      </x:c>
      <x:c r="K46" s="66" t="n">
        <x:v>5.95</x:v>
      </x:c>
      <x:c r="L46" s="66" t="n">
        <x:f>K46-B46</x:f>
        <x:v>1.8500000000000005</x:v>
      </x:c>
      <x:c r="M46" s="67" t="n">
        <x:f>IFERROR(K46/B46-1,0)</x:f>
        <x:v>0.45121951219512213</x:v>
      </x:c>
      <x:c r="N46" s="66" t="n">
        <x:f>MAX(B46:K46)</x:f>
        <x:v>6.16</x:v>
      </x:c>
      <x:c r="O46" s="68" t="n">
        <x:f>MATCH(N46,B46:K46,0)+2014</x:f>
        <x:v>2022</x:v>
      </x:c>
      <x:c r="P46" s="68" t="n">
        <x:f>RANK(K46,$K$6:$K$55,0)</x:f>
        <x:v>21</x:v>
      </x:c>
    </x:row>
    <x:row r="47">
      <x:c r="A47" s="65" t="str">
        <x:v>Tennessee</x:v>
      </x:c>
      <x:c r="B47" s="66" t="n">
        <x:v>6.98</x:v>
      </x:c>
      <x:c r="C47" s="66" t="n">
        <x:v>8.47</x:v>
      </x:c>
      <x:c r="D47" s="66" t="n">
        <x:v>8.3</x:v>
      </x:c>
      <x:c r="E47" s="66" t="n">
        <x:v>8.91</x:v>
      </x:c>
      <x:c r="F47" s="66" t="n">
        <x:v>8.73</x:v>
      </x:c>
      <x:c r="G47" s="66" t="n">
        <x:v>10.87</x:v>
      </x:c>
      <x:c r="H47" s="66" t="n">
        <x:v>11.63</x:v>
      </x:c>
      <x:c r="I47" s="66" t="n">
        <x:v>10.45</x:v>
      </x:c>
      <x:c r="J47" s="66" t="n">
        <x:v>10.87</x:v>
      </x:c>
      <x:c r="K47" s="66" t="n">
        <x:v>9.64</x:v>
      </x:c>
      <x:c r="L47" s="66" t="n">
        <x:f>K47-B47</x:f>
        <x:v>2.66</x:v>
      </x:c>
      <x:c r="M47" s="67" t="n">
        <x:f>IFERROR(K47/B47-1,0)</x:f>
        <x:v>0.3810888252148996</x:v>
      </x:c>
      <x:c r="N47" s="66" t="n">
        <x:f>MAX(B47:K47)</x:f>
        <x:v>11.63</x:v>
      </x:c>
      <x:c r="O47" s="68" t="n">
        <x:f>MATCH(N47,B47:K47,0)+2014</x:f>
        <x:v>2021</x:v>
      </x:c>
      <x:c r="P47" s="68" t="n">
        <x:f>RANK(K47,$K$6:$K$55,0)</x:f>
        <x:v>5</x:v>
      </x:c>
    </x:row>
    <x:row r="48">
      <x:c r="A48" s="65" t="str">
        <x:v>Texas</x:v>
      </x:c>
      <x:c r="B48" s="66" t="n">
        <x:v>5.6</x:v>
      </x:c>
      <x:c r="C48" s="66" t="n">
        <x:v>5.98</x:v>
      </x:c>
      <x:c r="D48" s="66" t="n">
        <x:v>5.84</x:v>
      </x:c>
      <x:c r="E48" s="66" t="n">
        <x:v>5.44</x:v>
      </x:c>
      <x:c r="F48" s="66" t="n">
        <x:v>5.84</x:v>
      </x:c>
      <x:c r="G48" s="66" t="n">
        <x:v>7.57</x:v>
      </x:c>
      <x:c r="H48" s="66" t="n">
        <x:v>8.09</x:v>
      </x:c>
      <x:c r="I48" s="66" t="n">
        <x:v>7.58</x:v>
      </x:c>
      <x:c r="J48" s="66" t="n">
        <x:v>7.03</x:v>
      </x:c>
      <x:c r="K48" s="66" t="n">
        <x:v>5.92</x:v>
      </x:c>
      <x:c r="L48" s="66" t="n">
        <x:f>K48-B48</x:f>
        <x:v>0.3200000000000003</x:v>
      </x:c>
      <x:c r="M48" s="67" t="n">
        <x:f>IFERROR(K48/B48-1,0)</x:f>
        <x:v>0.05714285714285716</x:v>
      </x:c>
      <x:c r="N48" s="66" t="n">
        <x:f>MAX(B48:K48)</x:f>
        <x:v>8.09</x:v>
      </x:c>
      <x:c r="O48" s="68" t="n">
        <x:f>MATCH(N48,B48:K48,0)+2014</x:f>
        <x:v>2021</x:v>
      </x:c>
      <x:c r="P48" s="68" t="n">
        <x:f>RANK(K48,$K$6:$K$55,0)</x:f>
        <x:v>22</x:v>
      </x:c>
    </x:row>
    <x:row r="49">
      <x:c r="A49" s="65" t="str">
        <x:v>Utah</x:v>
      </x:c>
      <x:c r="B49" s="66" t="n">
        <x:v>2.01</x:v>
      </x:c>
      <x:c r="C49" s="66" t="n">
        <x:v>2.63</x:v>
      </x:c>
      <x:c r="D49" s="66" t="n">
        <x:v>2.55</x:v>
      </x:c>
      <x:c r="E49" s="66" t="n">
        <x:v>2.12</x:v>
      </x:c>
      <x:c r="F49" s="66" t="n">
        <x:v>2.56</x:v>
      </x:c>
      <x:c r="G49" s="66" t="n">
        <x:v>2.89</x:v>
      </x:c>
      <x:c r="H49" s="66" t="n">
        <x:v>2.73</x:v>
      </x:c>
      <x:c r="I49" s="66" t="n">
        <x:v>2.12</x:v>
      </x:c>
      <x:c r="J49" s="66" t="n">
        <x:v>2.21</x:v>
      </x:c>
      <x:c r="K49" s="66" t="n">
        <x:v>2.34</x:v>
      </x:c>
      <x:c r="L49" s="66" t="n">
        <x:f>K49-B49</x:f>
        <x:v>0.33000000000000007</x:v>
      </x:c>
      <x:c r="M49" s="67" t="n">
        <x:f>IFERROR(K49/B49-1,0)</x:f>
        <x:v>0.16417910447761197</x:v>
      </x:c>
      <x:c r="N49" s="66" t="n">
        <x:f>MAX(B49:K49)</x:f>
        <x:v>2.89</x:v>
      </x:c>
      <x:c r="O49" s="68" t="n">
        <x:f>MATCH(N49,B49:K49,0)+2014</x:f>
        <x:v>2020</x:v>
      </x:c>
      <x:c r="P49" s="68" t="n">
        <x:f>RANK(K49,$K$6:$K$55,0)</x:f>
        <x:v>46</x:v>
      </x:c>
    </x:row>
    <x:row r="50">
      <x:c r="A50" s="65" t="str">
        <x:v>Vermont</x:v>
      </x:c>
      <x:c r="B50" s="66" t="n">
        <x:v>2.56</x:v>
      </x:c>
      <x:c r="C50" s="66" t="n">
        <x:v>1.76</x:v>
      </x:c>
      <x:c r="D50" s="66" t="n">
        <x:v>2.4</x:v>
      </x:c>
      <x:c r="E50" s="66" t="n">
        <x:v>2.24</x:v>
      </x:c>
      <x:c r="F50" s="66" t="n">
        <x:v>1.76</x:v>
      </x:c>
      <x:c r="G50" s="66" t="n">
        <x:v>2.18</x:v>
      </x:c>
      <x:c r="H50" s="66" t="n">
        <x:v>1.55</x:v>
      </x:c>
      <x:c r="I50" s="66" t="n">
        <x:v>2.78</x:v>
      </x:c>
      <x:c r="J50" s="66" t="n">
        <x:v>3.24</x:v>
      </x:c>
      <x:c r="K50" s="66" t="n">
        <x:v>3.24</x:v>
      </x:c>
      <x:c r="L50" s="66" t="n">
        <x:f>K50-B50</x:f>
        <x:v>0.6800000000000002</x:v>
      </x:c>
      <x:c r="M50" s="67" t="n">
        <x:f>IFERROR(K50/B50-1,0)</x:f>
        <x:v>0.265625</x:v>
      </x:c>
      <x:c r="N50" s="66" t="n">
        <x:f>MAX(B50:K50)</x:f>
        <x:v>3.24</x:v>
      </x:c>
      <x:c r="O50" s="68" t="n">
        <x:f>MATCH(N50,B50:K50,0)+2014</x:f>
        <x:v>2023</x:v>
      </x:c>
      <x:c r="P50" s="68" t="n">
        <x:f>RANK(K50,$K$6:$K$55,0)</x:f>
        <x:v>38</x:v>
      </x:c>
    </x:row>
    <x:row r="51">
      <x:c r="A51" s="65" t="str">
        <x:v>Virginia</x:v>
      </x:c>
      <x:c r="B51" s="66" t="n">
        <x:v>4.47</x:v>
      </x:c>
      <x:c r="C51" s="66" t="n">
        <x:v>5.41</x:v>
      </x:c>
      <x:c r="D51" s="66" t="n">
        <x:v>5.37</x:v>
      </x:c>
      <x:c r="E51" s="66" t="n">
        <x:v>4.99</x:v>
      </x:c>
      <x:c r="F51" s="66" t="n">
        <x:v>5.1</x:v>
      </x:c>
      <x:c r="G51" s="66" t="n">
        <x:v>6.15</x:v>
      </x:c>
      <x:c r="H51" s="66" t="n">
        <x:v>7</x:v>
      </x:c>
      <x:c r="I51" s="66" t="n">
        <x:v>7.52</x:v>
      </x:c>
      <x:c r="J51" s="66" t="n">
        <x:v>6.59</x:v>
      </x:c>
      <x:c r="K51" s="66" t="n">
        <x:v>5.41</x:v>
      </x:c>
      <x:c r="L51" s="66" t="n">
        <x:f>K51-B51</x:f>
        <x:v>0.9400000000000004</x:v>
      </x:c>
      <x:c r="M51" s="67" t="n">
        <x:f>IFERROR(K51/B51-1,0)</x:f>
        <x:v>0.21029082774049224</x:v>
      </x:c>
      <x:c r="N51" s="66" t="n">
        <x:f>MAX(B51:K51)</x:f>
        <x:v>7.52</x:v>
      </x:c>
      <x:c r="O51" s="68" t="n">
        <x:f>MATCH(N51,B51:K51,0)+2014</x:f>
        <x:v>2022</x:v>
      </x:c>
      <x:c r="P51" s="68" t="n">
        <x:f>RANK(K51,$K$6:$K$55,0)</x:f>
        <x:v>24</x:v>
      </x:c>
    </x:row>
    <x:row r="52">
      <x:c r="A52" s="65" t="str">
        <x:v>Washington</x:v>
      </x:c>
      <x:c r="B52" s="66" t="n">
        <x:v>3.34</x:v>
      </x:c>
      <x:c r="C52" s="66" t="n">
        <x:v>2.96</x:v>
      </x:c>
      <x:c r="D52" s="66" t="n">
        <x:v>3.58</x:v>
      </x:c>
      <x:c r="E52" s="66" t="n">
        <x:v>3.65</x:v>
      </x:c>
      <x:c r="F52" s="66" t="n">
        <x:v>3.17</x:v>
      </x:c>
      <x:c r="G52" s="66" t="n">
        <x:v>4.17</x:v>
      </x:c>
      <x:c r="H52" s="66" t="n">
        <x:v>4.47</x:v>
      </x:c>
      <x:c r="I52" s="66" t="n">
        <x:v>5.44</x:v>
      </x:c>
      <x:c r="J52" s="66" t="n">
        <x:v>5.27</x:v>
      </x:c>
      <x:c r="K52" s="66" t="n">
        <x:v>4.32</x:v>
      </x:c>
      <x:c r="L52" s="66" t="n">
        <x:f>K52-B52</x:f>
        <x:v>0.9800000000000004</x:v>
      </x:c>
      <x:c r="M52" s="67" t="n">
        <x:f>IFERROR(K52/B52-1,0)</x:f>
        <x:v>0.2934131736526948</x:v>
      </x:c>
      <x:c r="N52" s="66" t="n">
        <x:f>MAX(B52:K52)</x:f>
        <x:v>5.44</x:v>
      </x:c>
      <x:c r="O52" s="68" t="n">
        <x:f>MATCH(N52,B52:K52,0)+2014</x:f>
        <x:v>2022</x:v>
      </x:c>
      <x:c r="P52" s="68" t="n">
        <x:f>RANK(K52,$K$6:$K$55,0)</x:f>
        <x:v>33</x:v>
      </x:c>
    </x:row>
    <x:row r="53">
      <x:c r="A53" s="65" t="str">
        <x:v>West Virginia</x:v>
      </x:c>
      <x:c r="B53" s="66" t="n">
        <x:v>4.34</x:v>
      </x:c>
      <x:c r="C53" s="66" t="n">
        <x:v>5.89</x:v>
      </x:c>
      <x:c r="D53" s="66" t="n">
        <x:v>6.16</x:v>
      </x:c>
      <x:c r="E53" s="66" t="n">
        <x:v>5.37</x:v>
      </x:c>
      <x:c r="F53" s="66" t="n">
        <x:v>5.13</x:v>
      </x:c>
      <x:c r="G53" s="66" t="n">
        <x:v>6.36</x:v>
      </x:c>
      <x:c r="H53" s="66" t="n">
        <x:v>6.38</x:v>
      </x:c>
      <x:c r="I53" s="66" t="n">
        <x:v>5.92</x:v>
      </x:c>
      <x:c r="J53" s="66" t="n">
        <x:v>4.97</x:v>
      </x:c>
      <x:c r="K53" s="66" t="n">
        <x:v>5.48</x:v>
      </x:c>
      <x:c r="L53" s="66" t="n">
        <x:f>K53-B53</x:f>
        <x:v>1.1400000000000006</x:v>
      </x:c>
      <x:c r="M53" s="67" t="n">
        <x:f>IFERROR(K53/B53-1,0)</x:f>
        <x:v>0.2626728110599079</x:v>
      </x:c>
      <x:c r="N53" s="66" t="n">
        <x:f>MAX(B53:K53)</x:f>
        <x:v>6.38</x:v>
      </x:c>
      <x:c r="O53" s="68" t="n">
        <x:f>MATCH(N53,B53:K53,0)+2014</x:f>
        <x:v>2021</x:v>
      </x:c>
      <x:c r="P53" s="68" t="n">
        <x:f>RANK(K53,$K$6:$K$55,0)</x:f>
        <x:v>23</x:v>
      </x:c>
    </x:row>
    <x:row r="54">
      <x:c r="A54" s="65" t="str">
        <x:v>Wisconsin</x:v>
      </x:c>
      <x:c r="B54" s="66" t="n">
        <x:v>4.22</x:v>
      </x:c>
      <x:c r="C54" s="66" t="n">
        <x:v>4.43</x:v>
      </x:c>
      <x:c r="D54" s="66" t="n">
        <x:v>3.49</x:v>
      </x:c>
      <x:c r="E54" s="66" t="n">
        <x:v>3.51</x:v>
      </x:c>
      <x:c r="F54" s="66" t="n">
        <x:v>3.88</x:v>
      </x:c>
      <x:c r="G54" s="66" t="n">
        <x:v>5.66</x:v>
      </x:c>
      <x:c r="H54" s="66" t="n">
        <x:v>5.92</x:v>
      </x:c>
      <x:c r="I54" s="66" t="n">
        <x:v>5.54</x:v>
      </x:c>
      <x:c r="J54" s="66" t="n">
        <x:v>4.79</x:v>
      </x:c>
      <x:c r="K54" s="66" t="n">
        <x:v>4.46</x:v>
      </x:c>
      <x:c r="L54" s="66" t="n">
        <x:f>K54-B54</x:f>
        <x:v>0.2400000000000002</x:v>
      </x:c>
      <x:c r="M54" s="67" t="n">
        <x:f>IFERROR(K54/B54-1,0)</x:f>
        <x:v>0.056872037914692086</x:v>
      </x:c>
      <x:c r="N54" s="66" t="n">
        <x:f>MAX(B54:K54)</x:f>
        <x:v>5.92</x:v>
      </x:c>
      <x:c r="O54" s="68" t="n">
        <x:f>MATCH(N54,B54:K54,0)+2014</x:f>
        <x:v>2021</x:v>
      </x:c>
      <x:c r="P54" s="68" t="n">
        <x:f>RANK(K54,$K$6:$K$55,0)</x:f>
        <x:v>32</x:v>
      </x:c>
    </x:row>
    <x:row r="55">
      <x:c r="A55" s="65" t="str">
        <x:v>Wyoming</x:v>
      </x:c>
      <x:c r="B55" s="66" t="n">
        <x:v>2.9</x:v>
      </x:c>
      <x:c r="C55" s="66" t="n">
        <x:v>2.91</x:v>
      </x:c>
      <x:c r="D55" s="66" t="n">
        <x:v>3.28</x:v>
      </x:c>
      <x:c r="E55" s="66" t="n">
        <x:v>3.8</x:v>
      </x:c>
      <x:c r="F55" s="66" t="n">
        <x:v>4.31</x:v>
      </x:c>
      <x:c r="G55" s="66" t="n">
        <x:v>4.33</x:v>
      </x:c>
      <x:c r="H55" s="66" t="n">
        <x:v>2.76</x:v>
      </x:c>
      <x:c r="I55" s="66" t="n">
        <x:v>2.92</x:v>
      </x:c>
      <x:c r="J55" s="66" t="n">
        <x:v>3.08</x:v>
      </x:c>
      <x:c r="K55" s="66" t="n">
        <x:v>4.6</x:v>
      </x:c>
      <x:c r="L55" s="66" t="n">
        <x:f>K55-B55</x:f>
        <x:v>1.6999999999999997</x:v>
      </x:c>
      <x:c r="M55" s="67" t="n">
        <x:f>IFERROR(K55/B55-1,0)</x:f>
        <x:v>0.586206896551724</x:v>
      </x:c>
      <x:c r="N55" s="66" t="n">
        <x:f>MAX(B55:K55)</x:f>
        <x:v>4.6</x:v>
      </x:c>
      <x:c r="O55" s="68" t="n">
        <x:f>MATCH(N55,B55:K55,0)+2014</x:f>
        <x:v>2024</x:v>
      </x:c>
      <x:c r="P55" s="68" t="n">
        <x:f>RANK(K55,$K$6:$K$55,0)</x:f>
        <x:v>30</x:v>
      </x:c>
    </x:row>
  </x:sheetData>
  <x:mergeCells>
    <x:mergeCell ref="A1:P2"/>
  </x:mergeCells>
  <x:conditionalFormatting sqref="B6:K55">
    <x:cfRule type="colorScale" priority="1">
      <x:colorScale>
        <x:cfvo type="min"/>
        <x:cfvo type="percentile" val="50"/>
        <x:cfvo type="max"/>
        <x:color rgb="FFE4F2EF"/>
        <x:color rgb="FFF9E7A5"/>
        <x:color rgb="FFD95D5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34b66a498845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0" hidden="0" customWidth="1"/>
    <x:col min="4" max="4" width="19" hidden="0" customWidth="1"/>
    <x:col min="5" max="5" width="19" hidden="0" customWidth="1"/>
  </x:cols>
  <x:sheetData>
    <x:row r="1">
      <x:c r="A1" s="3" t="str">
        <x:v>Long-form state data (500 observations)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3">
      <x:c r="A3" s="4" t="str">
        <x:v>One row per state-year. Crude rate is the requested per-capita measure; age-adjusted rate is included for comparison.</x:v>
      </x:c>
    </x:row>
    <x:row r="5">
      <x:c r="A5" s="69" t="str">
        <x:v>State FIPS</x:v>
      </x:c>
      <x:c r="B5" s="69" t="str">
        <x:v>State</x:v>
      </x:c>
      <x:c r="C5" s="69" t="str">
        <x:v>Year</x:v>
      </x:c>
      <x:c r="D5" s="69" t="str">
        <x:v>Crude rate</x:v>
      </x:c>
      <x:c r="E5" s="69" t="str">
        <x:v>Age-adjusted rate</x:v>
      </x:c>
    </x:row>
    <x:row r="6">
      <x:c r="A6" s="70" t="str">
        <x:v>US-01</x:v>
      </x:c>
      <x:c r="B6" s="70" t="str">
        <x:v>Alabama</x:v>
      </x:c>
      <x:c r="C6" s="70" t="n">
        <x:v>2015</x:v>
      </x:c>
      <x:c r="D6" s="61" t="n">
        <x:v>9.74</x:v>
      </x:c>
      <x:c r="E6" s="61" t="n">
        <x:v>10.18</x:v>
      </x:c>
    </x:row>
    <x:row r="7">
      <x:c r="A7" s="70" t="str">
        <x:v>US-01</x:v>
      </x:c>
      <x:c r="B7" s="70" t="str">
        <x:v>Alabama</x:v>
      </x:c>
      <x:c r="C7" s="70" t="n">
        <x:v>2016</x:v>
      </x:c>
      <x:c r="D7" s="61" t="n">
        <x:v>11.18</x:v>
      </x:c>
      <x:c r="E7" s="61" t="n">
        <x:v>11.75</x:v>
      </x:c>
    </x:row>
    <x:row r="8">
      <x:c r="A8" s="70" t="str">
        <x:v>US-01</x:v>
      </x:c>
      <x:c r="B8" s="70" t="str">
        <x:v>Alabama</x:v>
      </x:c>
      <x:c r="C8" s="70" t="n">
        <x:v>2017</x:v>
      </x:c>
      <x:c r="D8" s="61" t="n">
        <x:v>12.34</x:v>
      </x:c>
      <x:c r="E8" s="61" t="n">
        <x:v>12.89</x:v>
      </x:c>
    </x:row>
    <x:row r="9">
      <x:c r="A9" s="70" t="str">
        <x:v>US-01</x:v>
      </x:c>
      <x:c r="B9" s="70" t="str">
        <x:v>Alabama</x:v>
      </x:c>
      <x:c r="C9" s="70" t="n">
        <x:v>2018</x:v>
      </x:c>
      <x:c r="D9" s="61" t="n">
        <x:v>11.61</x:v>
      </x:c>
      <x:c r="E9" s="61" t="n">
        <x:v>12.12</x:v>
      </x:c>
    </x:row>
    <x:row r="10">
      <x:c r="A10" s="70" t="str">
        <x:v>US-01</x:v>
      </x:c>
      <x:c r="B10" s="70" t="str">
        <x:v>Alabama</x:v>
      </x:c>
      <x:c r="C10" s="70" t="n">
        <x:v>2019</x:v>
      </x:c>
      <x:c r="D10" s="61" t="n">
        <x:v>11.96</x:v>
      </x:c>
      <x:c r="E10" s="61" t="n">
        <x:v>12.75</x:v>
      </x:c>
    </x:row>
    <x:row r="11">
      <x:c r="A11" s="70" t="str">
        <x:v>US-01</x:v>
      </x:c>
      <x:c r="B11" s="70" t="str">
        <x:v>Alabama</x:v>
      </x:c>
      <x:c r="C11" s="70" t="n">
        <x:v>2020</x:v>
      </x:c>
      <x:c r="D11" s="61" t="n">
        <x:v>12.99</x:v>
      </x:c>
      <x:c r="E11" s="61" t="n">
        <x:v>13.72</x:v>
      </x:c>
    </x:row>
    <x:row r="12">
      <x:c r="A12" s="70" t="str">
        <x:v>US-01</x:v>
      </x:c>
      <x:c r="B12" s="70" t="str">
        <x:v>Alabama</x:v>
      </x:c>
      <x:c r="C12" s="70" t="n">
        <x:v>2021</x:v>
      </x:c>
      <x:c r="D12" s="61" t="n">
        <x:v>14.81</x:v>
      </x:c>
      <x:c r="E12" s="61" t="n">
        <x:v>15.81</x:v>
      </x:c>
    </x:row>
    <x:row r="13">
      <x:c r="A13" s="70" t="str">
        <x:v>US-01</x:v>
      </x:c>
      <x:c r="B13" s="70" t="str">
        <x:v>Alabama</x:v>
      </x:c>
      <x:c r="C13" s="70" t="n">
        <x:v>2022</x:v>
      </x:c>
      <x:c r="D13" s="61" t="n">
        <x:v>13.91</x:v>
      </x:c>
      <x:c r="E13" s="61" t="n">
        <x:v>14.93</x:v>
      </x:c>
    </x:row>
    <x:row r="14">
      <x:c r="A14" s="70" t="str">
        <x:v>US-01</x:v>
      </x:c>
      <x:c r="B14" s="70" t="str">
        <x:v>Alabama</x:v>
      </x:c>
      <x:c r="C14" s="70" t="n">
        <x:v>2023</x:v>
      </x:c>
      <x:c r="D14" s="61" t="n">
        <x:v>14.01</x:v>
      </x:c>
      <x:c r="E14" s="61" t="n">
        <x:v>14.79</x:v>
      </x:c>
    </x:row>
    <x:row r="15">
      <x:c r="A15" s="70" t="str">
        <x:v>US-01</x:v>
      </x:c>
      <x:c r="B15" s="70" t="str">
        <x:v>Alabama</x:v>
      </x:c>
      <x:c r="C15" s="70" t="n">
        <x:v>2024</x:v>
      </x:c>
      <x:c r="D15" s="61" t="n">
        <x:v>12.51</x:v>
      </x:c>
      <x:c r="E15" s="61" t="n">
        <x:v>13.31</x:v>
      </x:c>
    </x:row>
    <x:row r="16">
      <x:c r="A16" s="70" t="str">
        <x:v>US-02</x:v>
      </x:c>
      <x:c r="B16" s="70" t="str">
        <x:v>Alaska</x:v>
      </x:c>
      <x:c r="C16" s="70" t="n">
        <x:v>2015</x:v>
      </x:c>
      <x:c r="D16" s="61" t="n">
        <x:v>8.4</x:v>
      </x:c>
      <x:c r="E16" s="61" t="n">
        <x:v>7.92</x:v>
      </x:c>
    </x:row>
    <x:row r="17">
      <x:c r="A17" s="70" t="str">
        <x:v>US-02</x:v>
      </x:c>
      <x:c r="B17" s="70" t="str">
        <x:v>Alaska</x:v>
      </x:c>
      <x:c r="C17" s="70" t="n">
        <x:v>2016</x:v>
      </x:c>
      <x:c r="D17" s="61" t="n">
        <x:v>7.27</x:v>
      </x:c>
      <x:c r="E17" s="61" t="n">
        <x:v>7.46</x:v>
      </x:c>
    </x:row>
    <x:row r="18">
      <x:c r="A18" s="70" t="str">
        <x:v>US-02</x:v>
      </x:c>
      <x:c r="B18" s="70" t="str">
        <x:v>Alaska</x:v>
      </x:c>
      <x:c r="C18" s="70" t="n">
        <x:v>2017</x:v>
      </x:c>
      <x:c r="D18" s="61" t="n">
        <x:v>10.53</x:v>
      </x:c>
      <x:c r="E18" s="61" t="n">
        <x:v>10.49</x:v>
      </x:c>
    </x:row>
    <x:row r="19">
      <x:c r="A19" s="70" t="str">
        <x:v>US-02</x:v>
      </x:c>
      <x:c r="B19" s="70" t="str">
        <x:v>Alaska</x:v>
      </x:c>
      <x:c r="C19" s="70" t="n">
        <x:v>2018</x:v>
      </x:c>
      <x:c r="D19" s="61" t="n">
        <x:v>7.6</x:v>
      </x:c>
      <x:c r="E19" s="61" t="n">
        <x:v>7.51</x:v>
      </x:c>
    </x:row>
    <x:row r="20">
      <x:c r="A20" s="70" t="str">
        <x:v>US-02</x:v>
      </x:c>
      <x:c r="B20" s="70" t="str">
        <x:v>Alaska</x:v>
      </x:c>
      <x:c r="C20" s="70" t="n">
        <x:v>2019</x:v>
      </x:c>
      <x:c r="D20" s="61" t="n">
        <x:v>10.63</x:v>
      </x:c>
      <x:c r="E20" s="61" t="n">
        <x:v>10.82</x:v>
      </x:c>
    </x:row>
    <x:row r="21">
      <x:c r="A21" s="70" t="str">
        <x:v>US-02</x:v>
      </x:c>
      <x:c r="B21" s="70" t="str">
        <x:v>Alaska</x:v>
      </x:c>
      <x:c r="C21" s="70" t="n">
        <x:v>2020</x:v>
      </x:c>
      <x:c r="D21" s="61" t="n">
        <x:v>7.5</x:v>
      </x:c>
      <x:c r="E21" s="61" t="n">
        <x:v>7.33</x:v>
      </x:c>
    </x:row>
    <x:row r="22">
      <x:c r="A22" s="70" t="str">
        <x:v>US-02</x:v>
      </x:c>
      <x:c r="B22" s="70" t="str">
        <x:v>Alaska</x:v>
      </x:c>
      <x:c r="C22" s="70" t="n">
        <x:v>2021</x:v>
      </x:c>
      <x:c r="D22" s="61" t="n">
        <x:v>6.67</x:v>
      </x:c>
      <x:c r="E22" s="61" t="n">
        <x:v>6.35</x:v>
      </x:c>
    </x:row>
    <x:row r="23">
      <x:c r="A23" s="70" t="str">
        <x:v>US-02</x:v>
      </x:c>
      <x:c r="B23" s="70" t="str">
        <x:v>Alaska</x:v>
      </x:c>
      <x:c r="C23" s="70" t="n">
        <x:v>2022</x:v>
      </x:c>
      <x:c r="D23" s="61" t="n">
        <x:v>10.35</x:v>
      </x:c>
      <x:c r="E23" s="61" t="n">
        <x:v>10.15</x:v>
      </x:c>
    </x:row>
    <x:row r="24">
      <x:c r="A24" s="70" t="str">
        <x:v>US-02</x:v>
      </x:c>
      <x:c r="B24" s="70" t="str">
        <x:v>Alaska</x:v>
      </x:c>
      <x:c r="C24" s="70" t="n">
        <x:v>2023</x:v>
      </x:c>
      <x:c r="D24" s="61" t="n">
        <x:v>8.28</x:v>
      </x:c>
      <x:c r="E24" s="61" t="n">
        <x:v>8.3</x:v>
      </x:c>
    </x:row>
    <x:row r="25">
      <x:c r="A25" s="70" t="str">
        <x:v>US-02</x:v>
      </x:c>
      <x:c r="B25" s="70" t="str">
        <x:v>Alaska</x:v>
      </x:c>
      <x:c r="C25" s="70" t="n">
        <x:v>2024</x:v>
      </x:c>
      <x:c r="D25" s="61" t="n">
        <x:v>7.57</x:v>
      </x:c>
      <x:c r="E25" s="61" t="n">
        <x:v>7.58</x:v>
      </x:c>
    </x:row>
    <x:row r="26">
      <x:c r="A26" s="70" t="str">
        <x:v>US-04</x:v>
      </x:c>
      <x:c r="B26" s="70" t="str">
        <x:v>Arizona</x:v>
      </x:c>
      <x:c r="C26" s="70" t="n">
        <x:v>2015</x:v>
      </x:c>
      <x:c r="D26" s="61" t="n">
        <x:v>5.33</x:v>
      </x:c>
      <x:c r="E26" s="61" t="n">
        <x:v>5.5</x:v>
      </x:c>
    </x:row>
    <x:row r="27">
      <x:c r="A27" s="70" t="str">
        <x:v>US-04</x:v>
      </x:c>
      <x:c r="B27" s="70" t="str">
        <x:v>Arizona</x:v>
      </x:c>
      <x:c r="C27" s="70" t="n">
        <x:v>2016</x:v>
      </x:c>
      <x:c r="D27" s="61" t="n">
        <x:v>6.05</x:v>
      </x:c>
      <x:c r="E27" s="61" t="n">
        <x:v>6.23</x:v>
      </x:c>
    </x:row>
    <x:row r="28">
      <x:c r="A28" s="70" t="str">
        <x:v>US-04</x:v>
      </x:c>
      <x:c r="B28" s="70" t="str">
        <x:v>Arizona</x:v>
      </x:c>
      <x:c r="C28" s="70" t="n">
        <x:v>2017</x:v>
      </x:c>
      <x:c r="D28" s="61" t="n">
        <x:v>6.26</x:v>
      </x:c>
      <x:c r="E28" s="61" t="n">
        <x:v>6.47</x:v>
      </x:c>
    </x:row>
    <x:row r="29">
      <x:c r="A29" s="70" t="str">
        <x:v>US-04</x:v>
      </x:c>
      <x:c r="B29" s="70" t="str">
        <x:v>Arizona</x:v>
      </x:c>
      <x:c r="C29" s="70" t="n">
        <x:v>2018</x:v>
      </x:c>
      <x:c r="D29" s="61" t="n">
        <x:v>5.86</x:v>
      </x:c>
      <x:c r="E29" s="61" t="n">
        <x:v>6.07</x:v>
      </x:c>
    </x:row>
    <x:row r="30">
      <x:c r="A30" s="70" t="str">
        <x:v>US-04</x:v>
      </x:c>
      <x:c r="B30" s="70" t="str">
        <x:v>Arizona</x:v>
      </x:c>
      <x:c r="C30" s="70" t="n">
        <x:v>2019</x:v>
      </x:c>
      <x:c r="D30" s="61" t="n">
        <x:v>5.68</x:v>
      </x:c>
      <x:c r="E30" s="61" t="n">
        <x:v>5.87</x:v>
      </x:c>
    </x:row>
    <x:row r="31">
      <x:c r="A31" s="70" t="str">
        <x:v>US-04</x:v>
      </x:c>
      <x:c r="B31" s="70" t="str">
        <x:v>Arizona</x:v>
      </x:c>
      <x:c r="C31" s="70" t="n">
        <x:v>2020</x:v>
      </x:c>
      <x:c r="D31" s="61" t="n">
        <x:v>7.31</x:v>
      </x:c>
      <x:c r="E31" s="61" t="n">
        <x:v>7.69</x:v>
      </x:c>
    </x:row>
    <x:row r="32">
      <x:c r="A32" s="70" t="str">
        <x:v>US-04</x:v>
      </x:c>
      <x:c r="B32" s="70" t="str">
        <x:v>Arizona</x:v>
      </x:c>
      <x:c r="C32" s="70" t="n">
        <x:v>2021</x:v>
      </x:c>
      <x:c r="D32" s="61" t="n">
        <x:v>7.73</x:v>
      </x:c>
      <x:c r="E32" s="61" t="n">
        <x:v>8.14</x:v>
      </x:c>
    </x:row>
    <x:row r="33">
      <x:c r="A33" s="70" t="str">
        <x:v>US-04</x:v>
      </x:c>
      <x:c r="B33" s="70" t="str">
        <x:v>Arizona</x:v>
      </x:c>
      <x:c r="C33" s="70" t="n">
        <x:v>2022</x:v>
      </x:c>
      <x:c r="D33" s="61" t="n">
        <x:v>8.53</x:v>
      </x:c>
      <x:c r="E33" s="61" t="n">
        <x:v>9.06</x:v>
      </x:c>
    </x:row>
    <x:row r="34">
      <x:c r="A34" s="70" t="str">
        <x:v>US-04</x:v>
      </x:c>
      <x:c r="B34" s="70" t="str">
        <x:v>Arizona</x:v>
      </x:c>
      <x:c r="C34" s="70" t="n">
        <x:v>2023</x:v>
      </x:c>
      <x:c r="D34" s="61" t="n">
        <x:v>7.11</x:v>
      </x:c>
      <x:c r="E34" s="61" t="n">
        <x:v>7.49</x:v>
      </x:c>
    </x:row>
    <x:row r="35">
      <x:c r="A35" s="70" t="str">
        <x:v>US-04</x:v>
      </x:c>
      <x:c r="B35" s="70" t="str">
        <x:v>Arizona</x:v>
      </x:c>
      <x:c r="C35" s="70" t="n">
        <x:v>2024</x:v>
      </x:c>
      <x:c r="D35" s="61" t="n">
        <x:v>6.16</x:v>
      </x:c>
      <x:c r="E35" s="61" t="n">
        <x:v>6.44</x:v>
      </x:c>
    </x:row>
    <x:row r="36">
      <x:c r="A36" s="70" t="str">
        <x:v>US-05</x:v>
      </x:c>
      <x:c r="B36" s="70" t="str">
        <x:v>Arkansas</x:v>
      </x:c>
      <x:c r="C36" s="70" t="n">
        <x:v>2015</x:v>
      </x:c>
      <x:c r="D36" s="61" t="n">
        <x:v>7.28</x:v>
      </x:c>
      <x:c r="E36" s="61" t="n">
        <x:v>7.38</x:v>
      </x:c>
    </x:row>
    <x:row r="37">
      <x:c r="A37" s="70" t="str">
        <x:v>US-05</x:v>
      </x:c>
      <x:c r="B37" s="70" t="str">
        <x:v>Arkansas</x:v>
      </x:c>
      <x:c r="C37" s="70" t="n">
        <x:v>2016</x:v>
      </x:c>
      <x:c r="D37" s="61" t="n">
        <x:v>8.29</x:v>
      </x:c>
      <x:c r="E37" s="61" t="n">
        <x:v>8.67</x:v>
      </x:c>
    </x:row>
    <x:row r="38">
      <x:c r="A38" s="70" t="str">
        <x:v>US-05</x:v>
      </x:c>
      <x:c r="B38" s="70" t="str">
        <x:v>Arkansas</x:v>
      </x:c>
      <x:c r="C38" s="70" t="n">
        <x:v>2017</x:v>
      </x:c>
      <x:c r="D38" s="61" t="n">
        <x:v>9.26</x:v>
      </x:c>
      <x:c r="E38" s="61" t="n">
        <x:v>9.8</x:v>
      </x:c>
    </x:row>
    <x:row r="39">
      <x:c r="A39" s="70" t="str">
        <x:v>US-05</x:v>
      </x:c>
      <x:c r="B39" s="70" t="str">
        <x:v>Arkansas</x:v>
      </x:c>
      <x:c r="C39" s="70" t="n">
        <x:v>2018</x:v>
      </x:c>
      <x:c r="D39" s="61" t="n">
        <x:v>8.76</x:v>
      </x:c>
      <x:c r="E39" s="61" t="n">
        <x:v>9.02</x:v>
      </x:c>
    </x:row>
    <x:row r="40">
      <x:c r="A40" s="70" t="str">
        <x:v>US-05</x:v>
      </x:c>
      <x:c r="B40" s="70" t="str">
        <x:v>Arkansas</x:v>
      </x:c>
      <x:c r="C40" s="70" t="n">
        <x:v>2019</x:v>
      </x:c>
      <x:c r="D40" s="61" t="n">
        <x:v>8.94</x:v>
      </x:c>
      <x:c r="E40" s="61" t="n">
        <x:v>9.33</x:v>
      </x:c>
    </x:row>
    <x:row r="41">
      <x:c r="A41" s="70" t="str">
        <x:v>US-05</x:v>
      </x:c>
      <x:c r="B41" s="70" t="str">
        <x:v>Arkansas</x:v>
      </x:c>
      <x:c r="C41" s="70" t="n">
        <x:v>2020</x:v>
      </x:c>
      <x:c r="D41" s="61" t="n">
        <x:v>12.31</x:v>
      </x:c>
      <x:c r="E41" s="61" t="n">
        <x:v>12.97</x:v>
      </x:c>
    </x:row>
    <x:row r="42">
      <x:c r="A42" s="70" t="str">
        <x:v>US-05</x:v>
      </x:c>
      <x:c r="B42" s="70" t="str">
        <x:v>Arkansas</x:v>
      </x:c>
      <x:c r="C42" s="70" t="n">
        <x:v>2021</x:v>
      </x:c>
      <x:c r="D42" s="61" t="n">
        <x:v>11.07</x:v>
      </x:c>
      <x:c r="E42" s="61" t="n">
        <x:v>11.67</x:v>
      </x:c>
    </x:row>
    <x:row r="43">
      <x:c r="A43" s="70" t="str">
        <x:v>US-05</x:v>
      </x:c>
      <x:c r="B43" s="70" t="str">
        <x:v>Arkansas</x:v>
      </x:c>
      <x:c r="C43" s="70" t="n">
        <x:v>2022</x:v>
      </x:c>
      <x:c r="D43" s="61" t="n">
        <x:v>11.32</x:v>
      </x:c>
      <x:c r="E43" s="61" t="n">
        <x:v>11.81</x:v>
      </x:c>
    </x:row>
    <x:row r="44">
      <x:c r="A44" s="70" t="str">
        <x:v>US-05</x:v>
      </x:c>
      <x:c r="B44" s="70" t="str">
        <x:v>Arkansas</x:v>
      </x:c>
      <x:c r="C44" s="70" t="n">
        <x:v>2023</x:v>
      </x:c>
      <x:c r="D44" s="61" t="n">
        <x:v>10.59</x:v>
      </x:c>
      <x:c r="E44" s="61" t="n">
        <x:v>11.32</x:v>
      </x:c>
    </x:row>
    <x:row r="45">
      <x:c r="A45" s="70" t="str">
        <x:v>US-05</x:v>
      </x:c>
      <x:c r="B45" s="70" t="str">
        <x:v>Arkansas</x:v>
      </x:c>
      <x:c r="C45" s="70" t="n">
        <x:v>2024</x:v>
      </x:c>
      <x:c r="D45" s="61" t="n">
        <x:v>8</x:v>
      </x:c>
      <x:c r="E45" s="61" t="n">
        <x:v>8.43</x:v>
      </x:c>
    </x:row>
    <x:row r="46">
      <x:c r="A46" s="70" t="str">
        <x:v>US-06</x:v>
      </x:c>
      <x:c r="B46" s="70" t="str">
        <x:v>California</x:v>
      </x:c>
      <x:c r="C46" s="70" t="n">
        <x:v>2015</x:v>
      </x:c>
      <x:c r="D46" s="61" t="n">
        <x:v>5.11</x:v>
      </x:c>
      <x:c r="E46" s="61" t="n">
        <x:v>5.03</x:v>
      </x:c>
    </x:row>
    <x:row r="47">
      <x:c r="A47" s="70" t="str">
        <x:v>US-06</x:v>
      </x:c>
      <x:c r="B47" s="70" t="str">
        <x:v>California</x:v>
      </x:c>
      <x:c r="C47" s="70" t="n">
        <x:v>2016</x:v>
      </x:c>
      <x:c r="D47" s="61" t="n">
        <x:v>5.3</x:v>
      </x:c>
      <x:c r="E47" s="61" t="n">
        <x:v>5.22</x:v>
      </x:c>
    </x:row>
    <x:row r="48">
      <x:c r="A48" s="70" t="str">
        <x:v>US-06</x:v>
      </x:c>
      <x:c r="B48" s="70" t="str">
        <x:v>California</x:v>
      </x:c>
      <x:c r="C48" s="70" t="n">
        <x:v>2017</x:v>
      </x:c>
      <x:c r="D48" s="61" t="n">
        <x:v>5.14</x:v>
      </x:c>
      <x:c r="E48" s="61" t="n">
        <x:v>5.11</x:v>
      </x:c>
    </x:row>
    <x:row r="49">
      <x:c r="A49" s="70" t="str">
        <x:v>US-06</x:v>
      </x:c>
      <x:c r="B49" s="70" t="str">
        <x:v>California</x:v>
      </x:c>
      <x:c r="C49" s="70" t="n">
        <x:v>2018</x:v>
      </x:c>
      <x:c r="D49" s="61" t="n">
        <x:v>4.79</x:v>
      </x:c>
      <x:c r="E49" s="61" t="n">
        <x:v>4.74</x:v>
      </x:c>
    </x:row>
    <x:row r="50">
      <x:c r="A50" s="70" t="str">
        <x:v>US-06</x:v>
      </x:c>
      <x:c r="B50" s="70" t="str">
        <x:v>California</x:v>
      </x:c>
      <x:c r="C50" s="70" t="n">
        <x:v>2019</x:v>
      </x:c>
      <x:c r="D50" s="61" t="n">
        <x:v>4.55</x:v>
      </x:c>
      <x:c r="E50" s="61" t="n">
        <x:v>4.53</x:v>
      </x:c>
    </x:row>
    <x:row r="51">
      <x:c r="A51" s="70" t="str">
        <x:v>US-06</x:v>
      </x:c>
      <x:c r="B51" s="70" t="str">
        <x:v>California</x:v>
      </x:c>
      <x:c r="C51" s="70" t="n">
        <x:v>2020</x:v>
      </x:c>
      <x:c r="D51" s="61" t="n">
        <x:v>5.99</x:v>
      </x:c>
      <x:c r="E51" s="61" t="n">
        <x:v>6.01</x:v>
      </x:c>
    </x:row>
    <x:row r="52">
      <x:c r="A52" s="70" t="str">
        <x:v>US-06</x:v>
      </x:c>
      <x:c r="B52" s="70" t="str">
        <x:v>California</x:v>
      </x:c>
      <x:c r="C52" s="70" t="n">
        <x:v>2021</x:v>
      </x:c>
      <x:c r="D52" s="61" t="n">
        <x:v>6.37</x:v>
      </x:c>
      <x:c r="E52" s="61" t="n">
        <x:v>6.4</x:v>
      </x:c>
    </x:row>
    <x:row r="53">
      <x:c r="A53" s="70" t="str">
        <x:v>US-06</x:v>
      </x:c>
      <x:c r="B53" s="70" t="str">
        <x:v>California</x:v>
      </x:c>
      <x:c r="C53" s="70" t="n">
        <x:v>2022</x:v>
      </x:c>
      <x:c r="D53" s="61" t="n">
        <x:v>5.89</x:v>
      </x:c>
      <x:c r="E53" s="61" t="n">
        <x:v>5.91</x:v>
      </x:c>
    </x:row>
    <x:row r="54">
      <x:c r="A54" s="70" t="str">
        <x:v>US-06</x:v>
      </x:c>
      <x:c r="B54" s="70" t="str">
        <x:v>California</x:v>
      </x:c>
      <x:c r="C54" s="70" t="n">
        <x:v>2023</x:v>
      </x:c>
      <x:c r="D54" s="61" t="n">
        <x:v>5.03</x:v>
      </x:c>
      <x:c r="E54" s="61" t="n">
        <x:v>5.04</x:v>
      </x:c>
    </x:row>
    <x:row r="55">
      <x:c r="A55" s="70" t="str">
        <x:v>US-06</x:v>
      </x:c>
      <x:c r="B55" s="70" t="str">
        <x:v>California</x:v>
      </x:c>
      <x:c r="C55" s="70" t="n">
        <x:v>2024</x:v>
      </x:c>
      <x:c r="D55" s="61" t="n">
        <x:v>4.48</x:v>
      </x:c>
      <x:c r="E55" s="61" t="n">
        <x:v>4.53</x:v>
      </x:c>
    </x:row>
    <x:row r="56">
      <x:c r="A56" s="70" t="str">
        <x:v>US-08</x:v>
      </x:c>
      <x:c r="B56" s="70" t="str">
        <x:v>Colorado</x:v>
      </x:c>
      <x:c r="C56" s="70" t="n">
        <x:v>2015</x:v>
      </x:c>
      <x:c r="D56" s="61" t="n">
        <x:v>3.78</x:v>
      </x:c>
      <x:c r="E56" s="61" t="n">
        <x:v>3.71</x:v>
      </x:c>
    </x:row>
    <x:row r="57">
      <x:c r="A57" s="70" t="str">
        <x:v>US-08</x:v>
      </x:c>
      <x:c r="B57" s="70" t="str">
        <x:v>Colorado</x:v>
      </x:c>
      <x:c r="C57" s="70" t="n">
        <x:v>2016</x:v>
      </x:c>
      <x:c r="D57" s="61" t="n">
        <x:v>4.24</x:v>
      </x:c>
      <x:c r="E57" s="61" t="n">
        <x:v>4.25</x:v>
      </x:c>
    </x:row>
    <x:row r="58">
      <x:c r="A58" s="70" t="str">
        <x:v>US-08</x:v>
      </x:c>
      <x:c r="B58" s="70" t="str">
        <x:v>Colorado</x:v>
      </x:c>
      <x:c r="C58" s="70" t="n">
        <x:v>2017</x:v>
      </x:c>
      <x:c r="D58" s="61" t="n">
        <x:v>4.65</x:v>
      </x:c>
      <x:c r="E58" s="61" t="n">
        <x:v>4.59</x:v>
      </x:c>
    </x:row>
    <x:row r="59">
      <x:c r="A59" s="70" t="str">
        <x:v>US-08</x:v>
      </x:c>
      <x:c r="B59" s="70" t="str">
        <x:v>Colorado</x:v>
      </x:c>
      <x:c r="C59" s="70" t="n">
        <x:v>2018</x:v>
      </x:c>
      <x:c r="D59" s="61" t="n">
        <x:v>4.62</x:v>
      </x:c>
      <x:c r="E59" s="61" t="n">
        <x:v>4.66</x:v>
      </x:c>
    </x:row>
    <x:row r="60">
      <x:c r="A60" s="70" t="str">
        <x:v>US-08</x:v>
      </x:c>
      <x:c r="B60" s="70" t="str">
        <x:v>Colorado</x:v>
      </x:c>
      <x:c r="C60" s="70" t="n">
        <x:v>2019</x:v>
      </x:c>
      <x:c r="D60" s="61" t="n">
        <x:v>4.34</x:v>
      </x:c>
      <x:c r="E60" s="61" t="n">
        <x:v>4.3</x:v>
      </x:c>
    </x:row>
    <x:row r="61">
      <x:c r="A61" s="70" t="str">
        <x:v>US-08</x:v>
      </x:c>
      <x:c r="B61" s="70" t="str">
        <x:v>Colorado</x:v>
      </x:c>
      <x:c r="C61" s="70" t="n">
        <x:v>2020</x:v>
      </x:c>
      <x:c r="D61" s="61" t="n">
        <x:v>5.81</x:v>
      </x:c>
      <x:c r="E61" s="61" t="n">
        <x:v>5.85</x:v>
      </x:c>
    </x:row>
    <x:row r="62">
      <x:c r="A62" s="70" t="str">
        <x:v>US-08</x:v>
      </x:c>
      <x:c r="B62" s="70" t="str">
        <x:v>Colorado</x:v>
      </x:c>
      <x:c r="C62" s="70" t="n">
        <x:v>2021</x:v>
      </x:c>
      <x:c r="D62" s="61" t="n">
        <x:v>6.33</x:v>
      </x:c>
      <x:c r="E62" s="61" t="n">
        <x:v>6.33</x:v>
      </x:c>
    </x:row>
    <x:row r="63">
      <x:c r="A63" s="70" t="str">
        <x:v>US-08</x:v>
      </x:c>
      <x:c r="B63" s="70" t="str">
        <x:v>Colorado</x:v>
      </x:c>
      <x:c r="C63" s="70" t="n">
        <x:v>2022</x:v>
      </x:c>
      <x:c r="D63" s="61" t="n">
        <x:v>7.13</x:v>
      </x:c>
      <x:c r="E63" s="61" t="n">
        <x:v>7.2</x:v>
      </x:c>
    </x:row>
    <x:row r="64">
      <x:c r="A64" s="70" t="str">
        <x:v>US-08</x:v>
      </x:c>
      <x:c r="B64" s="70" t="str">
        <x:v>Colorado</x:v>
      </x:c>
      <x:c r="C64" s="70" t="n">
        <x:v>2023</x:v>
      </x:c>
      <x:c r="D64" s="61" t="n">
        <x:v>6.24</x:v>
      </x:c>
      <x:c r="E64" s="61" t="n">
        <x:v>6.19</x:v>
      </x:c>
    </x:row>
    <x:row r="65">
      <x:c r="A65" s="70" t="str">
        <x:v>US-08</x:v>
      </x:c>
      <x:c r="B65" s="70" t="str">
        <x:v>Colorado</x:v>
      </x:c>
      <x:c r="C65" s="70" t="n">
        <x:v>2024</x:v>
      </x:c>
      <x:c r="D65" s="61" t="n">
        <x:v>5.12</x:v>
      </x:c>
      <x:c r="E65" s="61" t="n">
        <x:v>5.11</x:v>
      </x:c>
    </x:row>
    <x:row r="66">
      <x:c r="A66" s="70" t="str">
        <x:v>US-09</x:v>
      </x:c>
      <x:c r="B66" s="70" t="str">
        <x:v>Connecticut</x:v>
      </x:c>
      <x:c r="C66" s="70" t="n">
        <x:v>2015</x:v>
      </x:c>
      <x:c r="D66" s="61" t="n">
        <x:v>3.46</x:v>
      </x:c>
      <x:c r="E66" s="61" t="n">
        <x:v>3.64</x:v>
      </x:c>
    </x:row>
    <x:row r="67">
      <x:c r="A67" s="70" t="str">
        <x:v>US-09</x:v>
      </x:c>
      <x:c r="B67" s="70" t="str">
        <x:v>Connecticut</x:v>
      </x:c>
      <x:c r="C67" s="70" t="n">
        <x:v>2016</x:v>
      </x:c>
      <x:c r="D67" s="61" t="n">
        <x:v>2.46</x:v>
      </x:c>
      <x:c r="E67" s="61" t="n">
        <x:v>2.65</x:v>
      </x:c>
    </x:row>
    <x:row r="68">
      <x:c r="A68" s="70" t="str">
        <x:v>US-09</x:v>
      </x:c>
      <x:c r="B68" s="70" t="str">
        <x:v>Connecticut</x:v>
      </x:c>
      <x:c r="C68" s="70" t="n">
        <x:v>2017</x:v>
      </x:c>
      <x:c r="D68" s="61" t="n">
        <x:v>3.05</x:v>
      </x:c>
      <x:c r="E68" s="61" t="n">
        <x:v>3.21</x:v>
      </x:c>
    </x:row>
    <x:row r="69">
      <x:c r="A69" s="70" t="str">
        <x:v>US-09</x:v>
      </x:c>
      <x:c r="B69" s="70" t="str">
        <x:v>Connecticut</x:v>
      </x:c>
      <x:c r="C69" s="70" t="n">
        <x:v>2018</x:v>
      </x:c>
      <x:c r="D69" s="61" t="n">
        <x:v>2.57</x:v>
      </x:c>
      <x:c r="E69" s="61" t="n">
        <x:v>2.71</x:v>
      </x:c>
    </x:row>
    <x:row r="70">
      <x:c r="A70" s="70" t="str">
        <x:v>US-09</x:v>
      </x:c>
      <x:c r="B70" s="70" t="str">
        <x:v>Connecticut</x:v>
      </x:c>
      <x:c r="C70" s="70" t="n">
        <x:v>2019</x:v>
      </x:c>
      <x:c r="D70" s="61" t="n">
        <x:v>2.97</x:v>
      </x:c>
      <x:c r="E70" s="61" t="n">
        <x:v>3.15</x:v>
      </x:c>
    </x:row>
    <x:row r="71">
      <x:c r="A71" s="70" t="str">
        <x:v>US-09</x:v>
      </x:c>
      <x:c r="B71" s="70" t="str">
        <x:v>Connecticut</x:v>
      </x:c>
      <x:c r="C71" s="70" t="n">
        <x:v>2020</x:v>
      </x:c>
      <x:c r="D71" s="61" t="n">
        <x:v>4.25</x:v>
      </x:c>
      <x:c r="E71" s="61" t="n">
        <x:v>4.54</x:v>
      </x:c>
    </x:row>
    <x:row r="72">
      <x:c r="A72" s="70" t="str">
        <x:v>US-09</x:v>
      </x:c>
      <x:c r="B72" s="70" t="str">
        <x:v>Connecticut</x:v>
      </x:c>
      <x:c r="C72" s="70" t="n">
        <x:v>2021</x:v>
      </x:c>
      <x:c r="D72" s="61" t="n">
        <x:v>4.44</x:v>
      </x:c>
      <x:c r="E72" s="61" t="n">
        <x:v>4.78</x:v>
      </x:c>
    </x:row>
    <x:row r="73">
      <x:c r="A73" s="70" t="str">
        <x:v>US-09</x:v>
      </x:c>
      <x:c r="B73" s="70" t="str">
        <x:v>Connecticut</x:v>
      </x:c>
      <x:c r="C73" s="70" t="n">
        <x:v>2022</x:v>
      </x:c>
      <x:c r="D73" s="61" t="n">
        <x:v>4.06</x:v>
      </x:c>
      <x:c r="E73" s="61" t="n">
        <x:v>4.32</x:v>
      </x:c>
    </x:row>
    <x:row r="74">
      <x:c r="A74" s="70" t="str">
        <x:v>US-09</x:v>
      </x:c>
      <x:c r="B74" s="70" t="str">
        <x:v>Connecticut</x:v>
      </x:c>
      <x:c r="C74" s="70" t="n">
        <x:v>2023</x:v>
      </x:c>
      <x:c r="D74" s="61" t="n">
        <x:v>4.2</x:v>
      </x:c>
      <x:c r="E74" s="61" t="n">
        <x:v>4.51</x:v>
      </x:c>
    </x:row>
    <x:row r="75">
      <x:c r="A75" s="70" t="str">
        <x:v>US-09</x:v>
      </x:c>
      <x:c r="B75" s="70" t="str">
        <x:v>Connecticut</x:v>
      </x:c>
      <x:c r="C75" s="70" t="n">
        <x:v>2024</x:v>
      </x:c>
      <x:c r="D75" s="61" t="n">
        <x:v>2.83</x:v>
      </x:c>
      <x:c r="E75" s="61" t="n">
        <x:v>3.05</x:v>
      </x:c>
    </x:row>
    <x:row r="76">
      <x:c r="A76" s="70" t="str">
        <x:v>US-10</x:v>
      </x:c>
      <x:c r="B76" s="70" t="str">
        <x:v>Delaware</x:v>
      </x:c>
      <x:c r="C76" s="70" t="n">
        <x:v>2015</x:v>
      </x:c>
      <x:c r="D76" s="61" t="n">
        <x:v>6.9</x:v>
      </x:c>
      <x:c r="E76" s="61" t="n">
        <x:v>7.49</x:v>
      </x:c>
    </x:row>
    <x:row r="77">
      <x:c r="A77" s="70" t="str">
        <x:v>US-10</x:v>
      </x:c>
      <x:c r="B77" s="70" t="str">
        <x:v>Delaware</x:v>
      </x:c>
      <x:c r="C77" s="70" t="n">
        <x:v>2016</x:v>
      </x:c>
      <x:c r="D77" s="61" t="n">
        <x:v>6.63</x:v>
      </x:c>
      <x:c r="E77" s="61" t="n">
        <x:v>7.03</x:v>
      </x:c>
    </x:row>
    <x:row r="78">
      <x:c r="A78" s="70" t="str">
        <x:v>US-10</x:v>
      </x:c>
      <x:c r="B78" s="70" t="str">
        <x:v>Delaware</x:v>
      </x:c>
      <x:c r="C78" s="70" t="n">
        <x:v>2017</x:v>
      </x:c>
      <x:c r="D78" s="61" t="n">
        <x:v>6.58</x:v>
      </x:c>
      <x:c r="E78" s="61" t="n">
        <x:v>6.89</x:v>
      </x:c>
    </x:row>
    <x:row r="79">
      <x:c r="A79" s="70" t="str">
        <x:v>US-10</x:v>
      </x:c>
      <x:c r="B79" s="70" t="str">
        <x:v>Delaware</x:v>
      </x:c>
      <x:c r="C79" s="70" t="n">
        <x:v>2018</x:v>
      </x:c>
      <x:c r="D79" s="61" t="n">
        <x:v>5.9</x:v>
      </x:c>
      <x:c r="E79" s="61" t="n">
        <x:v>6.8</x:v>
      </x:c>
    </x:row>
    <x:row r="80">
      <x:c r="A80" s="70" t="str">
        <x:v>US-10</x:v>
      </x:c>
      <x:c r="B80" s="70" t="str">
        <x:v>Delaware</x:v>
      </x:c>
      <x:c r="C80" s="70" t="n">
        <x:v>2019</x:v>
      </x:c>
      <x:c r="D80" s="61" t="n">
        <x:v>5.43</x:v>
      </x:c>
      <x:c r="E80" s="61" t="n">
        <x:v>6.14</x:v>
      </x:c>
    </x:row>
    <x:row r="81">
      <x:c r="A81" s="70" t="str">
        <x:v>US-10</x:v>
      </x:c>
      <x:c r="B81" s="70" t="str">
        <x:v>Delaware</x:v>
      </x:c>
      <x:c r="C81" s="70" t="n">
        <x:v>2020</x:v>
      </x:c>
      <x:c r="D81" s="61" t="n">
        <x:v>8.67</x:v>
      </x:c>
      <x:c r="E81" s="61" t="n">
        <x:v>9.89</x:v>
      </x:c>
    </x:row>
    <x:row r="82">
      <x:c r="A82" s="70" t="str">
        <x:v>US-10</x:v>
      </x:c>
      <x:c r="B82" s="70" t="str">
        <x:v>Delaware</x:v>
      </x:c>
      <x:c r="C82" s="70" t="n">
        <x:v>2021</x:v>
      </x:c>
      <x:c r="D82" s="61" t="n">
        <x:v>10.25</x:v>
      </x:c>
      <x:c r="E82" s="61" t="n">
        <x:v>11.23</x:v>
      </x:c>
    </x:row>
    <x:row r="83">
      <x:c r="A83" s="70" t="str">
        <x:v>US-10</x:v>
      </x:c>
      <x:c r="B83" s="70" t="str">
        <x:v>Delaware</x:v>
      </x:c>
      <x:c r="C83" s="70" t="n">
        <x:v>2022</x:v>
      </x:c>
      <x:c r="D83" s="61" t="n">
        <x:v>6.27</x:v>
      </x:c>
      <x:c r="E83" s="61" t="n">
        <x:v>6.96</x:v>
      </x:c>
    </x:row>
    <x:row r="84">
      <x:c r="A84" s="70" t="str">
        <x:v>US-10</x:v>
      </x:c>
      <x:c r="B84" s="70" t="str">
        <x:v>Delaware</x:v>
      </x:c>
      <x:c r="C84" s="70" t="n">
        <x:v>2023</x:v>
      </x:c>
      <x:c r="D84" s="61" t="n">
        <x:v>5.31</x:v>
      </x:c>
      <x:c r="E84" s="61" t="n">
        <x:v>5.9</x:v>
      </x:c>
    </x:row>
    <x:row r="85">
      <x:c r="A85" s="70" t="str">
        <x:v>US-10</x:v>
      </x:c>
      <x:c r="B85" s="70" t="str">
        <x:v>Delaware</x:v>
      </x:c>
      <x:c r="C85" s="70" t="n">
        <x:v>2024</x:v>
      </x:c>
      <x:c r="D85" s="61" t="n">
        <x:v>6.37</x:v>
      </x:c>
      <x:c r="E85" s="61" t="n">
        <x:v>6.9</x:v>
      </x:c>
    </x:row>
    <x:row r="86">
      <x:c r="A86" s="70" t="str">
        <x:v>US-12</x:v>
      </x:c>
      <x:c r="B86" s="70" t="str">
        <x:v>Florida</x:v>
      </x:c>
      <x:c r="C86" s="70" t="n">
        <x:v>2015</x:v>
      </x:c>
      <x:c r="D86" s="61" t="n">
        <x:v>5.98</x:v>
      </x:c>
      <x:c r="E86" s="61" t="n">
        <x:v>6.29</x:v>
      </x:c>
    </x:row>
    <x:row r="87">
      <x:c r="A87" s="70" t="str">
        <x:v>US-12</x:v>
      </x:c>
      <x:c r="B87" s="70" t="str">
        <x:v>Florida</x:v>
      </x:c>
      <x:c r="C87" s="70" t="n">
        <x:v>2016</x:v>
      </x:c>
      <x:c r="D87" s="61" t="n">
        <x:v>6.27</x:v>
      </x:c>
      <x:c r="E87" s="61" t="n">
        <x:v>6.73</x:v>
      </x:c>
    </x:row>
    <x:row r="88">
      <x:c r="A88" s="70" t="str">
        <x:v>US-12</x:v>
      </x:c>
      <x:c r="B88" s="70" t="str">
        <x:v>Florida</x:v>
      </x:c>
      <x:c r="C88" s="70" t="n">
        <x:v>2017</x:v>
      </x:c>
      <x:c r="D88" s="61" t="n">
        <x:v>6.05</x:v>
      </x:c>
      <x:c r="E88" s="61" t="n">
        <x:v>6.4</x:v>
      </x:c>
    </x:row>
    <x:row r="89">
      <x:c r="A89" s="70" t="str">
        <x:v>US-12</x:v>
      </x:c>
      <x:c r="B89" s="70" t="str">
        <x:v>Florida</x:v>
      </x:c>
      <x:c r="C89" s="70" t="n">
        <x:v>2018</x:v>
      </x:c>
      <x:c r="D89" s="61" t="n">
        <x:v>6.19</x:v>
      </x:c>
      <x:c r="E89" s="61" t="n">
        <x:v>6.56</x:v>
      </x:c>
    </x:row>
    <x:row r="90">
      <x:c r="A90" s="70" t="str">
        <x:v>US-12</x:v>
      </x:c>
      <x:c r="B90" s="70" t="str">
        <x:v>Florida</x:v>
      </x:c>
      <x:c r="C90" s="70" t="n">
        <x:v>2019</x:v>
      </x:c>
      <x:c r="D90" s="61" t="n">
        <x:v>6.21</x:v>
      </x:c>
      <x:c r="E90" s="61" t="n">
        <x:v>6.63</x:v>
      </x:c>
    </x:row>
    <x:row r="91">
      <x:c r="A91" s="70" t="str">
        <x:v>US-12</x:v>
      </x:c>
      <x:c r="B91" s="70" t="str">
        <x:v>Florida</x:v>
      </x:c>
      <x:c r="C91" s="70" t="n">
        <x:v>2020</x:v>
      </x:c>
      <x:c r="D91" s="61" t="n">
        <x:v>7.09</x:v>
      </x:c>
      <x:c r="E91" s="61" t="n">
        <x:v>7.74</x:v>
      </x:c>
    </x:row>
    <x:row r="92">
      <x:c r="A92" s="70" t="str">
        <x:v>US-12</x:v>
      </x:c>
      <x:c r="B92" s="70" t="str">
        <x:v>Florida</x:v>
      </x:c>
      <x:c r="C92" s="70" t="n">
        <x:v>2021</x:v>
      </x:c>
      <x:c r="D92" s="61" t="n">
        <x:v>6.72</x:v>
      </x:c>
      <x:c r="E92" s="61" t="n">
        <x:v>7.33</x:v>
      </x:c>
    </x:row>
    <x:row r="93">
      <x:c r="A93" s="70" t="str">
        <x:v>US-12</x:v>
      </x:c>
      <x:c r="B93" s="70" t="str">
        <x:v>Florida</x:v>
      </x:c>
      <x:c r="C93" s="70" t="n">
        <x:v>2022</x:v>
      </x:c>
      <x:c r="D93" s="61" t="n">
        <x:v>6.58</x:v>
      </x:c>
      <x:c r="E93" s="61" t="n">
        <x:v>7.18</x:v>
      </x:c>
    </x:row>
    <x:row r="94">
      <x:c r="A94" s="70" t="str">
        <x:v>US-12</x:v>
      </x:c>
      <x:c r="B94" s="70" t="str">
        <x:v>Florida</x:v>
      </x:c>
      <x:c r="C94" s="70" t="n">
        <x:v>2023</x:v>
      </x:c>
      <x:c r="D94" s="61" t="n">
        <x:v>5.94</x:v>
      </x:c>
      <x:c r="E94" s="61" t="n">
        <x:v>6.42</x:v>
      </x:c>
    </x:row>
    <x:row r="95">
      <x:c r="A95" s="70" t="str">
        <x:v>US-12</x:v>
      </x:c>
      <x:c r="B95" s="70" t="str">
        <x:v>Florida</x:v>
      </x:c>
      <x:c r="C95" s="70" t="n">
        <x:v>2024</x:v>
      </x:c>
      <x:c r="D95" s="61" t="n">
        <x:v>5.06</x:v>
      </x:c>
      <x:c r="E95" s="61" t="n">
        <x:v>5.46</x:v>
      </x:c>
    </x:row>
    <x:row r="96">
      <x:c r="A96" s="70" t="str">
        <x:v>US-13</x:v>
      </x:c>
      <x:c r="B96" s="70" t="str">
        <x:v>Georgia</x:v>
      </x:c>
      <x:c r="C96" s="70" t="n">
        <x:v>2015</x:v>
      </x:c>
      <x:c r="D96" s="61" t="n">
        <x:v>7.25</x:v>
      </x:c>
      <x:c r="E96" s="61" t="n">
        <x:v>7.28</x:v>
      </x:c>
    </x:row>
    <x:row r="97">
      <x:c r="A97" s="70" t="str">
        <x:v>US-13</x:v>
      </x:c>
      <x:c r="B97" s="70" t="str">
        <x:v>Georgia</x:v>
      </x:c>
      <x:c r="C97" s="70" t="n">
        <x:v>2016</x:v>
      </x:c>
      <x:c r="D97" s="61" t="n">
        <x:v>7.82</x:v>
      </x:c>
      <x:c r="E97" s="61" t="n">
        <x:v>7.87</x:v>
      </x:c>
    </x:row>
    <x:row r="98">
      <x:c r="A98" s="70" t="str">
        <x:v>US-13</x:v>
      </x:c>
      <x:c r="B98" s="70" t="str">
        <x:v>Georgia</x:v>
      </x:c>
      <x:c r="C98" s="70" t="n">
        <x:v>2017</x:v>
      </x:c>
      <x:c r="D98" s="61" t="n">
        <x:v>7.78</x:v>
      </x:c>
      <x:c r="E98" s="61" t="n">
        <x:v>7.8</x:v>
      </x:c>
    </x:row>
    <x:row r="99">
      <x:c r="A99" s="70" t="str">
        <x:v>US-13</x:v>
      </x:c>
      <x:c r="B99" s="70" t="str">
        <x:v>Georgia</x:v>
      </x:c>
      <x:c r="C99" s="70" t="n">
        <x:v>2018</x:v>
      </x:c>
      <x:c r="D99" s="61" t="n">
        <x:v>7.55</x:v>
      </x:c>
      <x:c r="E99" s="61" t="n">
        <x:v>7.68</x:v>
      </x:c>
    </x:row>
    <x:row r="100">
      <x:c r="A100" s="70" t="str">
        <x:v>US-13</x:v>
      </x:c>
      <x:c r="B100" s="70" t="str">
        <x:v>Georgia</x:v>
      </x:c>
      <x:c r="C100" s="70" t="n">
        <x:v>2019</x:v>
      </x:c>
      <x:c r="D100" s="61" t="n">
        <x:v>7.99</x:v>
      </x:c>
      <x:c r="E100" s="61" t="n">
        <x:v>8.07</x:v>
      </x:c>
    </x:row>
    <x:row r="101">
      <x:c r="A101" s="70" t="str">
        <x:v>US-13</x:v>
      </x:c>
      <x:c r="B101" s="70" t="str">
        <x:v>Georgia</x:v>
      </x:c>
      <x:c r="C101" s="70" t="n">
        <x:v>2020</x:v>
      </x:c>
      <x:c r="D101" s="61" t="n">
        <x:v>10.18</x:v>
      </x:c>
      <x:c r="E101" s="61" t="n">
        <x:v>10.45</x:v>
      </x:c>
    </x:row>
    <x:row r="102">
      <x:c r="A102" s="70" t="str">
        <x:v>US-13</x:v>
      </x:c>
      <x:c r="B102" s="70" t="str">
        <x:v>Georgia</x:v>
      </x:c>
      <x:c r="C102" s="70" t="n">
        <x:v>2021</x:v>
      </x:c>
      <x:c r="D102" s="61" t="n">
        <x:v>11.18</x:v>
      </x:c>
      <x:c r="E102" s="61" t="n">
        <x:v>11.42</x:v>
      </x:c>
    </x:row>
    <x:row r="103">
      <x:c r="A103" s="70" t="str">
        <x:v>US-13</x:v>
      </x:c>
      <x:c r="B103" s="70" t="str">
        <x:v>Georgia</x:v>
      </x:c>
      <x:c r="C103" s="70" t="n">
        <x:v>2022</x:v>
      </x:c>
      <x:c r="D103" s="61" t="n">
        <x:v>11.19</x:v>
      </x:c>
      <x:c r="E103" s="61" t="n">
        <x:v>11.33</x:v>
      </x:c>
    </x:row>
    <x:row r="104">
      <x:c r="A104" s="70" t="str">
        <x:v>US-13</x:v>
      </x:c>
      <x:c r="B104" s="70" t="str">
        <x:v>Georgia</x:v>
      </x:c>
      <x:c r="C104" s="70" t="n">
        <x:v>2023</x:v>
      </x:c>
      <x:c r="D104" s="61" t="n">
        <x:v>9.64</x:v>
      </x:c>
      <x:c r="E104" s="61" t="n">
        <x:v>9.83</x:v>
      </x:c>
    </x:row>
    <x:row r="105">
      <x:c r="A105" s="70" t="str">
        <x:v>US-13</x:v>
      </x:c>
      <x:c r="B105" s="70" t="str">
        <x:v>Georgia</x:v>
      </x:c>
      <x:c r="C105" s="70" t="n">
        <x:v>2024</x:v>
      </x:c>
      <x:c r="D105" s="61" t="n">
        <x:v>8.95</x:v>
      </x:c>
      <x:c r="E105" s="61" t="n">
        <x:v>9.14</x:v>
      </x:c>
    </x:row>
    <x:row r="106">
      <x:c r="A106" s="70" t="str">
        <x:v>US-15</x:v>
      </x:c>
      <x:c r="B106" s="70" t="str">
        <x:v>Hawaii</x:v>
      </x:c>
      <x:c r="C106" s="70" t="n">
        <x:v>2015</x:v>
      </x:c>
      <x:c r="D106" s="61" t="n">
        <x:v>2.18</x:v>
      </x:c>
      <x:c r="E106" s="61" t="n">
        <x:v>2.21</x:v>
      </x:c>
    </x:row>
    <x:row r="107">
      <x:c r="A107" s="70" t="str">
        <x:v>US-15</x:v>
      </x:c>
      <x:c r="B107" s="70" t="str">
        <x:v>Hawaii</x:v>
      </x:c>
      <x:c r="C107" s="70" t="n">
        <x:v>2016</x:v>
      </x:c>
      <x:c r="D107" s="61" t="n">
        <x:v>2.73</x:v>
      </x:c>
      <x:c r="E107" s="61" t="n">
        <x:v>2.84</x:v>
      </x:c>
    </x:row>
    <x:row r="108">
      <x:c r="A108" s="70" t="str">
        <x:v>US-15</x:v>
      </x:c>
      <x:c r="B108" s="70" t="str">
        <x:v>Hawaii</x:v>
      </x:c>
      <x:c r="C108" s="70" t="n">
        <x:v>2017</x:v>
      </x:c>
      <x:c r="D108" s="61" t="n">
        <x:v>2.46</x:v>
      </x:c>
      <x:c r="E108" s="61" t="n">
        <x:v>2.52</x:v>
      </x:c>
    </x:row>
    <x:row r="109">
      <x:c r="A109" s="70" t="str">
        <x:v>US-15</x:v>
      </x:c>
      <x:c r="B109" s="70" t="str">
        <x:v>Hawaii</x:v>
      </x:c>
      <x:c r="C109" s="70" t="n">
        <x:v>2018</x:v>
      </x:c>
      <x:c r="D109" s="61" t="n">
        <x:v>2.81</x:v>
      </x:c>
      <x:c r="E109" s="61" t="n">
        <x:v>3.03</x:v>
      </x:c>
    </x:row>
    <x:row r="110">
      <x:c r="A110" s="70" t="str">
        <x:v>US-15</x:v>
      </x:c>
      <x:c r="B110" s="70" t="str">
        <x:v>Hawaii</x:v>
      </x:c>
      <x:c r="C110" s="70" t="n">
        <x:v>2019</x:v>
      </x:c>
      <x:c r="D110" s="61" t="n">
        <x:v>2.47</x:v>
      </x:c>
      <x:c r="E110" s="61" t="n">
        <x:v>2.5</x:v>
      </x:c>
    </x:row>
    <x:row r="111">
      <x:c r="A111" s="70" t="str">
        <x:v>US-15</x:v>
      </x:c>
      <x:c r="B111" s="70" t="str">
        <x:v>Hawaii</x:v>
      </x:c>
      <x:c r="C111" s="70" t="n">
        <x:v>2020</x:v>
      </x:c>
      <x:c r="D111" s="61" t="n">
        <x:v>3.17</x:v>
      </x:c>
      <x:c r="E111" s="61" t="n">
        <x:v>3.13</x:v>
      </x:c>
    </x:row>
    <x:row r="112">
      <x:c r="A112" s="70" t="str">
        <x:v>US-15</x:v>
      </x:c>
      <x:c r="B112" s="70" t="str">
        <x:v>Hawaii</x:v>
      </x:c>
      <x:c r="C112" s="70" t="n">
        <x:v>2021</x:v>
      </x:c>
      <x:c r="D112" s="61" t="n">
        <x:v>2.7</x:v>
      </x:c>
      <x:c r="E112" s="61" t="n">
        <x:v>2.67</x:v>
      </x:c>
    </x:row>
    <x:row r="113">
      <x:c r="A113" s="70" t="str">
        <x:v>US-15</x:v>
      </x:c>
      <x:c r="B113" s="70" t="str">
        <x:v>Hawaii</x:v>
      </x:c>
      <x:c r="C113" s="70" t="n">
        <x:v>2022</x:v>
      </x:c>
      <x:c r="D113" s="61" t="n">
        <x:v>2.92</x:v>
      </x:c>
      <x:c r="E113" s="61" t="n">
        <x:v>3</x:v>
      </x:c>
    </x:row>
    <x:row r="114">
      <x:c r="A114" s="70" t="str">
        <x:v>US-15</x:v>
      </x:c>
      <x:c r="B114" s="70" t="str">
        <x:v>Hawaii</x:v>
      </x:c>
      <x:c r="C114" s="70" t="n">
        <x:v>2023</x:v>
      </x:c>
      <x:c r="D114" s="61" t="n">
        <x:v>2.91</x:v>
      </x:c>
      <x:c r="E114" s="61" t="n">
        <x:v>2.94</x:v>
      </x:c>
    </x:row>
    <x:row r="115">
      <x:c r="A115" s="70" t="str">
        <x:v>US-15</x:v>
      </x:c>
      <x:c r="B115" s="70" t="str">
        <x:v>Hawaii</x:v>
      </x:c>
      <x:c r="C115" s="70" t="n">
        <x:v>2024</x:v>
      </x:c>
      <x:c r="D115" s="61" t="n">
        <x:v>2.7</x:v>
      </x:c>
      <x:c r="E115" s="61" t="n">
        <x:v>2.82</x:v>
      </x:c>
    </x:row>
    <x:row r="116">
      <x:c r="A116" s="70" t="str">
        <x:v>US-16</x:v>
      </x:c>
      <x:c r="B116" s="70" t="str">
        <x:v>Idaho</x:v>
      </x:c>
      <x:c r="C116" s="70" t="n">
        <x:v>2015</x:v>
      </x:c>
      <x:c r="D116" s="61" t="n">
        <x:v>2</x:v>
      </x:c>
      <x:c r="E116" s="61" t="n">
        <x:v>2</x:v>
      </x:c>
    </x:row>
    <x:row r="117">
      <x:c r="A117" s="70" t="str">
        <x:v>US-16</x:v>
      </x:c>
      <x:c r="B117" s="70" t="str">
        <x:v>Idaho</x:v>
      </x:c>
      <x:c r="C117" s="70" t="n">
        <x:v>2016</x:v>
      </x:c>
      <x:c r="D117" s="61" t="n">
        <x:v>1.78</x:v>
      </x:c>
      <x:c r="E117" s="61" t="n">
        <x:v>1.96</x:v>
      </x:c>
    </x:row>
    <x:row r="118">
      <x:c r="A118" s="70" t="str">
        <x:v>US-16</x:v>
      </x:c>
      <x:c r="B118" s="70" t="str">
        <x:v>Idaho</x:v>
      </x:c>
      <x:c r="C118" s="70" t="n">
        <x:v>2017</x:v>
      </x:c>
      <x:c r="D118" s="61" t="n">
        <x:v>2.91</x:v>
      </x:c>
      <x:c r="E118" s="61" t="n">
        <x:v>3.05</x:v>
      </x:c>
    </x:row>
    <x:row r="119">
      <x:c r="A119" s="70" t="str">
        <x:v>US-16</x:v>
      </x:c>
      <x:c r="B119" s="70" t="str">
        <x:v>Idaho</x:v>
      </x:c>
      <x:c r="C119" s="70" t="n">
        <x:v>2018</x:v>
      </x:c>
      <x:c r="D119" s="61" t="n">
        <x:v>2.34</x:v>
      </x:c>
      <x:c r="E119" s="61" t="n">
        <x:v>2.3</x:v>
      </x:c>
    </x:row>
    <x:row r="120">
      <x:c r="A120" s="70" t="str">
        <x:v>US-16</x:v>
      </x:c>
      <x:c r="B120" s="70" t="str">
        <x:v>Idaho</x:v>
      </x:c>
      <x:c r="C120" s="70" t="n">
        <x:v>2019</x:v>
      </x:c>
      <x:c r="D120" s="61" t="n">
        <x:v>1.51</x:v>
      </x:c>
      <x:c r="E120" s="61" t="n">
        <x:v>1.71</x:v>
      </x:c>
    </x:row>
    <x:row r="121">
      <x:c r="A121" s="70" t="str">
        <x:v>US-16</x:v>
      </x:c>
      <x:c r="B121" s="70" t="str">
        <x:v>Idaho</x:v>
      </x:c>
      <x:c r="C121" s="70" t="n">
        <x:v>2020</x:v>
      </x:c>
      <x:c r="D121" s="61" t="n">
        <x:v>2.27</x:v>
      </x:c>
      <x:c r="E121" s="61" t="n">
        <x:v>2.43</x:v>
      </x:c>
    </x:row>
    <x:row r="122">
      <x:c r="A122" s="70" t="str">
        <x:v>US-16</x:v>
      </x:c>
      <x:c r="B122" s="70" t="str">
        <x:v>Idaho</x:v>
      </x:c>
      <x:c r="C122" s="70" t="n">
        <x:v>2021</x:v>
      </x:c>
      <x:c r="D122" s="61" t="n">
        <x:v>2.15</x:v>
      </x:c>
      <x:c r="E122" s="61" t="n">
        <x:v>2.23</x:v>
      </x:c>
    </x:row>
    <x:row r="123">
      <x:c r="A123" s="70" t="str">
        <x:v>US-16</x:v>
      </x:c>
      <x:c r="B123" s="70" t="str">
        <x:v>Idaho</x:v>
      </x:c>
      <x:c r="C123" s="70" t="n">
        <x:v>2022</x:v>
      </x:c>
      <x:c r="D123" s="61" t="n">
        <x:v>2.52</x:v>
      </x:c>
      <x:c r="E123" s="61" t="n">
        <x:v>2.74</x:v>
      </x:c>
    </x:row>
    <x:row r="124">
      <x:c r="A124" s="70" t="str">
        <x:v>US-16</x:v>
      </x:c>
      <x:c r="B124" s="70" t="str">
        <x:v>Idaho</x:v>
      </x:c>
      <x:c r="C124" s="70" t="n">
        <x:v>2023</x:v>
      </x:c>
      <x:c r="D124" s="61" t="n">
        <x:v>2.49</x:v>
      </x:c>
      <x:c r="E124" s="61" t="n">
        <x:v>2.72</x:v>
      </x:c>
    </x:row>
    <x:row r="125">
      <x:c r="A125" s="70" t="str">
        <x:v>US-16</x:v>
      </x:c>
      <x:c r="B125" s="70" t="str">
        <x:v>Idaho</x:v>
      </x:c>
      <x:c r="C125" s="70" t="n">
        <x:v>2024</x:v>
      </x:c>
      <x:c r="D125" s="61" t="n">
        <x:v>1.8</x:v>
      </x:c>
      <x:c r="E125" s="61" t="n">
        <x:v>1.78</x:v>
      </x:c>
    </x:row>
    <x:row r="126">
      <x:c r="A126" s="70" t="str">
        <x:v>US-17</x:v>
      </x:c>
      <x:c r="B126" s="70" t="str">
        <x:v>Illinois</x:v>
      </x:c>
      <x:c r="C126" s="70" t="n">
        <x:v>2015</x:v>
      </x:c>
      <x:c r="D126" s="61" t="n">
        <x:v>6.71</x:v>
      </x:c>
      <x:c r="E126" s="61" t="n">
        <x:v>6.8</x:v>
      </x:c>
    </x:row>
    <x:row r="127">
      <x:c r="A127" s="70" t="str">
        <x:v>US-17</x:v>
      </x:c>
      <x:c r="B127" s="70" t="str">
        <x:v>Illinois</x:v>
      </x:c>
      <x:c r="C127" s="70" t="n">
        <x:v>2016</x:v>
      </x:c>
      <x:c r="D127" s="61" t="n">
        <x:v>9.02</x:v>
      </x:c>
      <x:c r="E127" s="61" t="n">
        <x:v>9.17</x:v>
      </x:c>
    </x:row>
    <x:row r="128">
      <x:c r="A128" s="70" t="str">
        <x:v>US-17</x:v>
      </x:c>
      <x:c r="B128" s="70" t="str">
        <x:v>Illinois</x:v>
      </x:c>
      <x:c r="C128" s="70" t="n">
        <x:v>2017</x:v>
      </x:c>
      <x:c r="D128" s="61" t="n">
        <x:v>8.76</x:v>
      </x:c>
      <x:c r="E128" s="61" t="n">
        <x:v>8.99</x:v>
      </x:c>
    </x:row>
    <x:row r="129">
      <x:c r="A129" s="70" t="str">
        <x:v>US-17</x:v>
      </x:c>
      <x:c r="B129" s="70" t="str">
        <x:v>Illinois</x:v>
      </x:c>
      <x:c r="C129" s="70" t="n">
        <x:v>2018</x:v>
      </x:c>
      <x:c r="D129" s="61" t="n">
        <x:v>7.81</x:v>
      </x:c>
      <x:c r="E129" s="61" t="n">
        <x:v>7.99</x:v>
      </x:c>
    </x:row>
    <x:row r="130">
      <x:c r="A130" s="70" t="str">
        <x:v>US-17</x:v>
      </x:c>
      <x:c r="B130" s="70" t="str">
        <x:v>Illinois</x:v>
      </x:c>
      <x:c r="C130" s="70" t="n">
        <x:v>2019</x:v>
      </x:c>
      <x:c r="D130" s="61" t="n">
        <x:v>7.73</x:v>
      </x:c>
      <x:c r="E130" s="61" t="n">
        <x:v>8.01</x:v>
      </x:c>
    </x:row>
    <x:row r="131">
      <x:c r="A131" s="70" t="str">
        <x:v>US-17</x:v>
      </x:c>
      <x:c r="B131" s="70" t="str">
        <x:v>Illinois</x:v>
      </x:c>
      <x:c r="C131" s="70" t="n">
        <x:v>2020</x:v>
      </x:c>
      <x:c r="D131" s="61" t="n">
        <x:v>10.57</x:v>
      </x:c>
      <x:c r="E131" s="61" t="n">
        <x:v>10.99</x:v>
      </x:c>
    </x:row>
    <x:row r="132">
      <x:c r="A132" s="70" t="str">
        <x:v>US-17</x:v>
      </x:c>
      <x:c r="B132" s="70" t="str">
        <x:v>Illinois</x:v>
      </x:c>
      <x:c r="C132" s="70" t="n">
        <x:v>2021</x:v>
      </x:c>
      <x:c r="D132" s="61" t="n">
        <x:v>11.71</x:v>
      </x:c>
      <x:c r="E132" s="61" t="n">
        <x:v>12.21</x:v>
      </x:c>
    </x:row>
    <x:row r="133">
      <x:c r="A133" s="70" t="str">
        <x:v>US-17</x:v>
      </x:c>
      <x:c r="B133" s="70" t="str">
        <x:v>Illinois</x:v>
      </x:c>
      <x:c r="C133" s="70" t="n">
        <x:v>2022</x:v>
      </x:c>
      <x:c r="D133" s="61" t="n">
        <x:v>10.4</x:v>
      </x:c>
      <x:c r="E133" s="61" t="n">
        <x:v>10.87</x:v>
      </x:c>
    </x:row>
    <x:row r="134">
      <x:c r="A134" s="70" t="str">
        <x:v>US-17</x:v>
      </x:c>
      <x:c r="B134" s="70" t="str">
        <x:v>Illinois</x:v>
      </x:c>
      <x:c r="C134" s="70" t="n">
        <x:v>2023</x:v>
      </x:c>
      <x:c r="D134" s="61" t="n">
        <x:v>9.26</x:v>
      </x:c>
      <x:c r="E134" s="61" t="n">
        <x:v>9.72</x:v>
      </x:c>
    </x:row>
    <x:row r="135">
      <x:c r="A135" s="70" t="str">
        <x:v>US-17</x:v>
      </x:c>
      <x:c r="B135" s="70" t="str">
        <x:v>Illinois</x:v>
      </x:c>
      <x:c r="C135" s="70" t="n">
        <x:v>2024</x:v>
      </x:c>
      <x:c r="D135" s="61" t="n">
        <x:v>8.32</x:v>
      </x:c>
      <x:c r="E135" s="61" t="n">
        <x:v>8.69</x:v>
      </x:c>
    </x:row>
    <x:row r="136">
      <x:c r="A136" s="70" t="str">
        <x:v>US-18</x:v>
      </x:c>
      <x:c r="B136" s="70" t="str">
        <x:v>Indiana</x:v>
      </x:c>
      <x:c r="C136" s="70" t="n">
        <x:v>2015</x:v>
      </x:c>
      <x:c r="D136" s="61" t="n">
        <x:v>5.88</x:v>
      </x:c>
      <x:c r="E136" s="61" t="n">
        <x:v>6.03</x:v>
      </x:c>
    </x:row>
    <x:row r="137">
      <x:c r="A137" s="70" t="str">
        <x:v>US-18</x:v>
      </x:c>
      <x:c r="B137" s="70" t="str">
        <x:v>Indiana</x:v>
      </x:c>
      <x:c r="C137" s="70" t="n">
        <x:v>2016</x:v>
      </x:c>
      <x:c r="D137" s="61" t="n">
        <x:v>7.23</x:v>
      </x:c>
      <x:c r="E137" s="61" t="n">
        <x:v>7.52</x:v>
      </x:c>
    </x:row>
    <x:row r="138">
      <x:c r="A138" s="70" t="str">
        <x:v>US-18</x:v>
      </x:c>
      <x:c r="B138" s="70" t="str">
        <x:v>Indiana</x:v>
      </x:c>
      <x:c r="C138" s="70" t="n">
        <x:v>2017</x:v>
      </x:c>
      <x:c r="D138" s="61" t="n">
        <x:v>6.85</x:v>
      </x:c>
      <x:c r="E138" s="61" t="n">
        <x:v>7.08</x:v>
      </x:c>
    </x:row>
    <x:row r="139">
      <x:c r="A139" s="70" t="str">
        <x:v>US-18</x:v>
      </x:c>
      <x:c r="B139" s="70" t="str">
        <x:v>Indiana</x:v>
      </x:c>
      <x:c r="C139" s="70" t="n">
        <x:v>2018</x:v>
      </x:c>
      <x:c r="D139" s="61" t="n">
        <x:v>7.06</x:v>
      </x:c>
      <x:c r="E139" s="61" t="n">
        <x:v>7.41</x:v>
      </x:c>
    </x:row>
    <x:row r="140">
      <x:c r="A140" s="70" t="str">
        <x:v>US-18</x:v>
      </x:c>
      <x:c r="B140" s="70" t="str">
        <x:v>Indiana</x:v>
      </x:c>
      <x:c r="C140" s="70" t="n">
        <x:v>2019</x:v>
      </x:c>
      <x:c r="D140" s="61" t="n">
        <x:v>6.92</x:v>
      </x:c>
      <x:c r="E140" s="61" t="n">
        <x:v>7.2</x:v>
      </x:c>
    </x:row>
    <x:row r="141">
      <x:c r="A141" s="70" t="str">
        <x:v>US-18</x:v>
      </x:c>
      <x:c r="B141" s="70" t="str">
        <x:v>Indiana</x:v>
      </x:c>
      <x:c r="C141" s="70" t="n">
        <x:v>2020</x:v>
      </x:c>
      <x:c r="D141" s="61" t="n">
        <x:v>9.13</x:v>
      </x:c>
      <x:c r="E141" s="61" t="n">
        <x:v>9.65</x:v>
      </x:c>
    </x:row>
    <x:row r="142">
      <x:c r="A142" s="70" t="str">
        <x:v>US-18</x:v>
      </x:c>
      <x:c r="B142" s="70" t="str">
        <x:v>Indiana</x:v>
      </x:c>
      <x:c r="C142" s="70" t="n">
        <x:v>2021</x:v>
      </x:c>
      <x:c r="D142" s="61" t="n">
        <x:v>9.16</x:v>
      </x:c>
      <x:c r="E142" s="61" t="n">
        <x:v>9.58</x:v>
      </x:c>
    </x:row>
    <x:row r="143">
      <x:c r="A143" s="70" t="str">
        <x:v>US-18</x:v>
      </x:c>
      <x:c r="B143" s="70" t="str">
        <x:v>Indiana</x:v>
      </x:c>
      <x:c r="C143" s="70" t="n">
        <x:v>2022</x:v>
      </x:c>
      <x:c r="D143" s="61" t="n">
        <x:v>8.08</x:v>
      </x:c>
      <x:c r="E143" s="61" t="n">
        <x:v>8.39</x:v>
      </x:c>
    </x:row>
    <x:row r="144">
      <x:c r="A144" s="70" t="str">
        <x:v>US-18</x:v>
      </x:c>
      <x:c r="B144" s="70" t="str">
        <x:v>Indiana</x:v>
      </x:c>
      <x:c r="C144" s="70" t="n">
        <x:v>2023</x:v>
      </x:c>
      <x:c r="D144" s="61" t="n">
        <x:v>7.6</x:v>
      </x:c>
      <x:c r="E144" s="61" t="n">
        <x:v>7.95</x:v>
      </x:c>
    </x:row>
    <x:row r="145">
      <x:c r="A145" s="70" t="str">
        <x:v>US-18</x:v>
      </x:c>
      <x:c r="B145" s="70" t="str">
        <x:v>Indiana</x:v>
      </x:c>
      <x:c r="C145" s="70" t="n">
        <x:v>2024</x:v>
      </x:c>
      <x:c r="D145" s="61" t="n">
        <x:v>6.96</x:v>
      </x:c>
      <x:c r="E145" s="61" t="n">
        <x:v>7.29</x:v>
      </x:c>
    </x:row>
    <x:row r="146">
      <x:c r="A146" s="70" t="str">
        <x:v>US-19</x:v>
      </x:c>
      <x:c r="B146" s="70" t="str">
        <x:v>Iowa</x:v>
      </x:c>
      <x:c r="C146" s="70" t="n">
        <x:v>2015</x:v>
      </x:c>
      <x:c r="D146" s="61" t="n">
        <x:v>2.34</x:v>
      </x:c>
      <x:c r="E146" s="61" t="n">
        <x:v>2.43</x:v>
      </x:c>
    </x:row>
    <x:row r="147">
      <x:c r="A147" s="70" t="str">
        <x:v>US-19</x:v>
      </x:c>
      <x:c r="B147" s="70" t="str">
        <x:v>Iowa</x:v>
      </x:c>
      <x:c r="C147" s="70" t="n">
        <x:v>2016</x:v>
      </x:c>
      <x:c r="D147" s="61" t="n">
        <x:v>2.71</x:v>
      </x:c>
      <x:c r="E147" s="61" t="n">
        <x:v>2.84</x:v>
      </x:c>
    </x:row>
    <x:row r="148">
      <x:c r="A148" s="70" t="str">
        <x:v>US-19</x:v>
      </x:c>
      <x:c r="B148" s="70" t="str">
        <x:v>Iowa</x:v>
      </x:c>
      <x:c r="C148" s="70" t="n">
        <x:v>2017</x:v>
      </x:c>
      <x:c r="D148" s="61" t="n">
        <x:v>3.31</x:v>
      </x:c>
      <x:c r="E148" s="61" t="n">
        <x:v>3.43</x:v>
      </x:c>
    </x:row>
    <x:row r="149">
      <x:c r="A149" s="70" t="str">
        <x:v>US-19</x:v>
      </x:c>
      <x:c r="B149" s="70" t="str">
        <x:v>Iowa</x:v>
      </x:c>
      <x:c r="C149" s="70" t="n">
        <x:v>2018</x:v>
      </x:c>
      <x:c r="D149" s="61" t="n">
        <x:v>2.57</x:v>
      </x:c>
      <x:c r="E149" s="61" t="n">
        <x:v>2.76</x:v>
      </x:c>
    </x:row>
    <x:row r="150">
      <x:c r="A150" s="70" t="str">
        <x:v>US-19</x:v>
      </x:c>
      <x:c r="B150" s="70" t="str">
        <x:v>Iowa</x:v>
      </x:c>
      <x:c r="C150" s="70" t="n">
        <x:v>2019</x:v>
      </x:c>
      <x:c r="D150" s="61" t="n">
        <x:v>2.53</x:v>
      </x:c>
      <x:c r="E150" s="61" t="n">
        <x:v>2.73</x:v>
      </x:c>
    </x:row>
    <x:row r="151">
      <x:c r="A151" s="70" t="str">
        <x:v>US-19</x:v>
      </x:c>
      <x:c r="B151" s="70" t="str">
        <x:v>Iowa</x:v>
      </x:c>
      <x:c r="C151" s="70" t="n">
        <x:v>2020</x:v>
      </x:c>
      <x:c r="D151" s="61" t="n">
        <x:v>3.32</x:v>
      </x:c>
      <x:c r="E151" s="61" t="n">
        <x:v>3.56</x:v>
      </x:c>
    </x:row>
    <x:row r="152">
      <x:c r="A152" s="70" t="str">
        <x:v>US-19</x:v>
      </x:c>
      <x:c r="B152" s="70" t="str">
        <x:v>Iowa</x:v>
      </x:c>
      <x:c r="C152" s="70" t="n">
        <x:v>2021</x:v>
      </x:c>
      <x:c r="D152" s="61" t="n">
        <x:v>2.94</x:v>
      </x:c>
      <x:c r="E152" s="61" t="n">
        <x:v>3.18</x:v>
      </x:c>
    </x:row>
    <x:row r="153">
      <x:c r="A153" s="70" t="str">
        <x:v>US-19</x:v>
      </x:c>
      <x:c r="B153" s="70" t="str">
        <x:v>Iowa</x:v>
      </x:c>
      <x:c r="C153" s="70" t="n">
        <x:v>2022</x:v>
      </x:c>
      <x:c r="D153" s="61" t="n">
        <x:v>2.81</x:v>
      </x:c>
      <x:c r="E153" s="61" t="n">
        <x:v>2.91</x:v>
      </x:c>
    </x:row>
    <x:row r="154">
      <x:c r="A154" s="70" t="str">
        <x:v>US-19</x:v>
      </x:c>
      <x:c r="B154" s="70" t="str">
        <x:v>Iowa</x:v>
      </x:c>
      <x:c r="C154" s="70" t="n">
        <x:v>2023</x:v>
      </x:c>
      <x:c r="D154" s="61" t="n">
        <x:v>3.14</x:v>
      </x:c>
      <x:c r="E154" s="61" t="n">
        <x:v>3.33</x:v>
      </x:c>
    </x:row>
    <x:row r="155">
      <x:c r="A155" s="70" t="str">
        <x:v>US-19</x:v>
      </x:c>
      <x:c r="B155" s="70" t="str">
        <x:v>Iowa</x:v>
      </x:c>
      <x:c r="C155" s="70" t="n">
        <x:v>2024</x:v>
      </x:c>
      <x:c r="D155" s="61" t="n">
        <x:v>3.24</x:v>
      </x:c>
      <x:c r="E155" s="61" t="n">
        <x:v>3.43</x:v>
      </x:c>
    </x:row>
    <x:row r="156">
      <x:c r="A156" s="70" t="str">
        <x:v>US-20</x:v>
      </x:c>
      <x:c r="B156" s="70" t="str">
        <x:v>Kansas</x:v>
      </x:c>
      <x:c r="C156" s="70" t="n">
        <x:v>2015</x:v>
      </x:c>
      <x:c r="D156" s="61" t="n">
        <x:v>4.54</x:v>
      </x:c>
      <x:c r="E156" s="61" t="n">
        <x:v>4.65</x:v>
      </x:c>
    </x:row>
    <x:row r="157">
      <x:c r="A157" s="70" t="str">
        <x:v>US-20</x:v>
      </x:c>
      <x:c r="B157" s="70" t="str">
        <x:v>Kansas</x:v>
      </x:c>
      <x:c r="C157" s="70" t="n">
        <x:v>2016</x:v>
      </x:c>
      <x:c r="D157" s="61" t="n">
        <x:v>5.05</x:v>
      </x:c>
      <x:c r="E157" s="61" t="n">
        <x:v>5.26</x:v>
      </x:c>
    </x:row>
    <x:row r="158">
      <x:c r="A158" s="70" t="str">
        <x:v>US-20</x:v>
      </x:c>
      <x:c r="B158" s="70" t="str">
        <x:v>Kansas</x:v>
      </x:c>
      <x:c r="C158" s="70" t="n">
        <x:v>2017</x:v>
      </x:c>
      <x:c r="D158" s="61" t="n">
        <x:v>6.36</x:v>
      </x:c>
      <x:c r="E158" s="61" t="n">
        <x:v>6.42</x:v>
      </x:c>
    </x:row>
    <x:row r="159">
      <x:c r="A159" s="70" t="str">
        <x:v>US-20</x:v>
      </x:c>
      <x:c r="B159" s="70" t="str">
        <x:v>Kansas</x:v>
      </x:c>
      <x:c r="C159" s="70" t="n">
        <x:v>2018</x:v>
      </x:c>
      <x:c r="D159" s="61" t="n">
        <x:v>5.49</x:v>
      </x:c>
      <x:c r="E159" s="61" t="n">
        <x:v>5.85</x:v>
      </x:c>
    </x:row>
    <x:row r="160">
      <x:c r="A160" s="70" t="str">
        <x:v>US-20</x:v>
      </x:c>
      <x:c r="B160" s="70" t="str">
        <x:v>Kansas</x:v>
      </x:c>
      <x:c r="C160" s="70" t="n">
        <x:v>2019</x:v>
      </x:c>
      <x:c r="D160" s="61" t="n">
        <x:v>4.7</x:v>
      </x:c>
      <x:c r="E160" s="61" t="n">
        <x:v>4.88</x:v>
      </x:c>
    </x:row>
    <x:row r="161">
      <x:c r="A161" s="70" t="str">
        <x:v>US-20</x:v>
      </x:c>
      <x:c r="B161" s="70" t="str">
        <x:v>Kansas</x:v>
      </x:c>
      <x:c r="C161" s="70" t="n">
        <x:v>2020</x:v>
      </x:c>
      <x:c r="D161" s="61" t="n">
        <x:v>6.64</x:v>
      </x:c>
      <x:c r="E161" s="61" t="n">
        <x:v>6.94</x:v>
      </x:c>
    </x:row>
    <x:row r="162">
      <x:c r="A162" s="70" t="str">
        <x:v>US-20</x:v>
      </x:c>
      <x:c r="B162" s="70" t="str">
        <x:v>Kansas</x:v>
      </x:c>
      <x:c r="C162" s="70" t="n">
        <x:v>2021</x:v>
      </x:c>
      <x:c r="D162" s="61" t="n">
        <x:v>6.13</x:v>
      </x:c>
      <x:c r="E162" s="61" t="n">
        <x:v>6.45</x:v>
      </x:c>
    </x:row>
    <x:row r="163">
      <x:c r="A163" s="70" t="str">
        <x:v>US-20</x:v>
      </x:c>
      <x:c r="B163" s="70" t="str">
        <x:v>Kansas</x:v>
      </x:c>
      <x:c r="C163" s="70" t="n">
        <x:v>2022</x:v>
      </x:c>
      <x:c r="D163" s="61" t="n">
        <x:v>5.48</x:v>
      </x:c>
      <x:c r="E163" s="61" t="n">
        <x:v>5.77</x:v>
      </x:c>
    </x:row>
    <x:row r="164">
      <x:c r="A164" s="70" t="str">
        <x:v>US-20</x:v>
      </x:c>
      <x:c r="B164" s="70" t="str">
        <x:v>Kansas</x:v>
      </x:c>
      <x:c r="C164" s="70" t="n">
        <x:v>2023</x:v>
      </x:c>
      <x:c r="D164" s="61" t="n">
        <x:v>6.3</x:v>
      </x:c>
      <x:c r="E164" s="61" t="n">
        <x:v>6.55</x:v>
      </x:c>
    </x:row>
    <x:row r="165">
      <x:c r="A165" s="70" t="str">
        <x:v>US-20</x:v>
      </x:c>
      <x:c r="B165" s="70" t="str">
        <x:v>Kansas</x:v>
      </x:c>
      <x:c r="C165" s="70" t="n">
        <x:v>2024</x:v>
      </x:c>
      <x:c r="D165" s="61" t="n">
        <x:v>5.25</x:v>
      </x:c>
      <x:c r="E165" s="61" t="n">
        <x:v>5.64</x:v>
      </x:c>
    </x:row>
    <x:row r="166">
      <x:c r="A166" s="70" t="str">
        <x:v>US-21</x:v>
      </x:c>
      <x:c r="B166" s="70" t="str">
        <x:v>Kentucky</x:v>
      </x:c>
      <x:c r="C166" s="70" t="n">
        <x:v>2015</x:v>
      </x:c>
      <x:c r="D166" s="61" t="n">
        <x:v>5.64</x:v>
      </x:c>
      <x:c r="E166" s="61" t="n">
        <x:v>5.69</x:v>
      </x:c>
    </x:row>
    <x:row r="167">
      <x:c r="A167" s="70" t="str">
        <x:v>US-21</x:v>
      </x:c>
      <x:c r="B167" s="70" t="str">
        <x:v>Kentucky</x:v>
      </x:c>
      <x:c r="C167" s="70" t="n">
        <x:v>2016</x:v>
      </x:c>
      <x:c r="D167" s="61" t="n">
        <x:v>6.8</x:v>
      </x:c>
      <x:c r="E167" s="61" t="n">
        <x:v>7.1</x:v>
      </x:c>
    </x:row>
    <x:row r="168">
      <x:c r="A168" s="70" t="str">
        <x:v>US-21</x:v>
      </x:c>
      <x:c r="B168" s="70" t="str">
        <x:v>Kentucky</x:v>
      </x:c>
      <x:c r="C168" s="70" t="n">
        <x:v>2017</x:v>
      </x:c>
      <x:c r="D168" s="61" t="n">
        <x:v>6.96</x:v>
      </x:c>
      <x:c r="E168" s="61" t="n">
        <x:v>7.24</x:v>
      </x:c>
    </x:row>
    <x:row r="169">
      <x:c r="A169" s="70" t="str">
        <x:v>US-21</x:v>
      </x:c>
      <x:c r="B169" s="70" t="str">
        <x:v>Kentucky</x:v>
      </x:c>
      <x:c r="C169" s="70" t="n">
        <x:v>2018</x:v>
      </x:c>
      <x:c r="D169" s="61" t="n">
        <x:v>5.78</x:v>
      </x:c>
      <x:c r="E169" s="61" t="n">
        <x:v>6.09</x:v>
      </x:c>
    </x:row>
    <x:row r="170">
      <x:c r="A170" s="70" t="str">
        <x:v>US-21</x:v>
      </x:c>
      <x:c r="B170" s="70" t="str">
        <x:v>Kentucky</x:v>
      </x:c>
      <x:c r="C170" s="70" t="n">
        <x:v>2019</x:v>
      </x:c>
      <x:c r="D170" s="61" t="n">
        <x:v>5.59</x:v>
      </x:c>
      <x:c r="E170" s="61" t="n">
        <x:v>5.93</x:v>
      </x:c>
    </x:row>
    <x:row r="171">
      <x:c r="A171" s="70" t="str">
        <x:v>US-21</x:v>
      </x:c>
      <x:c r="B171" s="70" t="str">
        <x:v>Kentucky</x:v>
      </x:c>
      <x:c r="C171" s="70" t="n">
        <x:v>2020</x:v>
      </x:c>
      <x:c r="D171" s="61" t="n">
        <x:v>8.96</x:v>
      </x:c>
      <x:c r="E171" s="61" t="n">
        <x:v>9.46</x:v>
      </x:c>
    </x:row>
    <x:row r="172">
      <x:c r="A172" s="70" t="str">
        <x:v>US-21</x:v>
      </x:c>
      <x:c r="B172" s="70" t="str">
        <x:v>Kentucky</x:v>
      </x:c>
      <x:c r="C172" s="70" t="n">
        <x:v>2021</x:v>
      </x:c>
      <x:c r="D172" s="61" t="n">
        <x:v>9.05</x:v>
      </x:c>
      <x:c r="E172" s="61" t="n">
        <x:v>9.52</x:v>
      </x:c>
    </x:row>
    <x:row r="173">
      <x:c r="A173" s="70" t="str">
        <x:v>US-21</x:v>
      </x:c>
      <x:c r="B173" s="70" t="str">
        <x:v>Kentucky</x:v>
      </x:c>
      <x:c r="C173" s="70" t="n">
        <x:v>2022</x:v>
      </x:c>
      <x:c r="D173" s="61" t="n">
        <x:v>7.7</x:v>
      </x:c>
      <x:c r="E173" s="61" t="n">
        <x:v>8.27</x:v>
      </x:c>
    </x:row>
    <x:row r="174">
      <x:c r="A174" s="70" t="str">
        <x:v>US-21</x:v>
      </x:c>
      <x:c r="B174" s="70" t="str">
        <x:v>Kentucky</x:v>
      </x:c>
      <x:c r="C174" s="70" t="n">
        <x:v>2023</x:v>
      </x:c>
      <x:c r="D174" s="61" t="n">
        <x:v>6.94</x:v>
      </x:c>
      <x:c r="E174" s="61" t="n">
        <x:v>7.38</x:v>
      </x:c>
    </x:row>
    <x:row r="175">
      <x:c r="A175" s="70" t="str">
        <x:v>US-21</x:v>
      </x:c>
      <x:c r="B175" s="70" t="str">
        <x:v>Kentucky</x:v>
      </x:c>
      <x:c r="C175" s="70" t="n">
        <x:v>2024</x:v>
      </x:c>
      <x:c r="D175" s="61" t="n">
        <x:v>6.84</x:v>
      </x:c>
      <x:c r="E175" s="61" t="n">
        <x:v>6.96</x:v>
      </x:c>
    </x:row>
    <x:row r="176">
      <x:c r="A176" s="70" t="str">
        <x:v>US-22</x:v>
      </x:c>
      <x:c r="B176" s="70" t="str">
        <x:v>Louisiana</x:v>
      </x:c>
      <x:c r="C176" s="70" t="n">
        <x:v>2015</x:v>
      </x:c>
      <x:c r="D176" s="61" t="n">
        <x:v>12.19</x:v>
      </x:c>
      <x:c r="E176" s="61" t="n">
        <x:v>12.4</x:v>
      </x:c>
    </x:row>
    <x:row r="177">
      <x:c r="A177" s="70" t="str">
        <x:v>US-22</x:v>
      </x:c>
      <x:c r="B177" s="70" t="str">
        <x:v>Louisiana</x:v>
      </x:c>
      <x:c r="C177" s="70" t="n">
        <x:v>2016</x:v>
      </x:c>
      <x:c r="D177" s="61" t="n">
        <x:v>13.84</x:v>
      </x:c>
      <x:c r="E177" s="61" t="n">
        <x:v>14.22</x:v>
      </x:c>
    </x:row>
    <x:row r="178">
      <x:c r="A178" s="70" t="str">
        <x:v>US-22</x:v>
      </x:c>
      <x:c r="B178" s="70" t="str">
        <x:v>Louisiana</x:v>
      </x:c>
      <x:c r="C178" s="70" t="n">
        <x:v>2017</x:v>
      </x:c>
      <x:c r="D178" s="61" t="n">
        <x:v>13.97</x:v>
      </x:c>
      <x:c r="E178" s="61" t="n">
        <x:v>14.32</x:v>
      </x:c>
    </x:row>
    <x:row r="179">
      <x:c r="A179" s="70" t="str">
        <x:v>US-22</x:v>
      </x:c>
      <x:c r="B179" s="70" t="str">
        <x:v>Louisiana</x:v>
      </x:c>
      <x:c r="C179" s="70" t="n">
        <x:v>2018</x:v>
      </x:c>
      <x:c r="D179" s="61" t="n">
        <x:v>12.82</x:v>
      </x:c>
      <x:c r="E179" s="61" t="n">
        <x:v>13.26</x:v>
      </x:c>
    </x:row>
    <x:row r="180">
      <x:c r="A180" s="70" t="str">
        <x:v>US-22</x:v>
      </x:c>
      <x:c r="B180" s="70" t="str">
        <x:v>Louisiana</x:v>
      </x:c>
      <x:c r="C180" s="70" t="n">
        <x:v>2019</x:v>
      </x:c>
      <x:c r="D180" s="61" t="n">
        <x:v>13.95</x:v>
      </x:c>
      <x:c r="E180" s="61" t="n">
        <x:v>14.56</x:v>
      </x:c>
    </x:row>
    <x:row r="181">
      <x:c r="A181" s="70" t="str">
        <x:v>US-22</x:v>
      </x:c>
      <x:c r="B181" s="70" t="str">
        <x:v>Louisiana</x:v>
      </x:c>
      <x:c r="C181" s="70" t="n">
        <x:v>2020</x:v>
      </x:c>
      <x:c r="D181" s="61" t="n">
        <x:v>18.77</x:v>
      </x:c>
      <x:c r="E181" s="61" t="n">
        <x:v>19.72</x:v>
      </x:c>
    </x:row>
    <x:row r="182">
      <x:c r="A182" s="70" t="str">
        <x:v>US-22</x:v>
      </x:c>
      <x:c r="B182" s="70" t="str">
        <x:v>Louisiana</x:v>
      </x:c>
      <x:c r="C182" s="70" t="n">
        <x:v>2021</x:v>
      </x:c>
      <x:c r="D182" s="61" t="n">
        <x:v>20.38</x:v>
      </x:c>
      <x:c r="E182" s="61" t="n">
        <x:v>21.24</x:v>
      </x:c>
    </x:row>
    <x:row r="183">
      <x:c r="A183" s="70" t="str">
        <x:v>US-22</x:v>
      </x:c>
      <x:c r="B183" s="70" t="str">
        <x:v>Louisiana</x:v>
      </x:c>
      <x:c r="C183" s="70" t="n">
        <x:v>2022</x:v>
      </x:c>
      <x:c r="D183" s="61" t="n">
        <x:v>18.77</x:v>
      </x:c>
      <x:c r="E183" s="61" t="n">
        <x:v>19.85</x:v>
      </x:c>
    </x:row>
    <x:row r="184">
      <x:c r="A184" s="70" t="str">
        <x:v>US-22</x:v>
      </x:c>
      <x:c r="B184" s="70" t="str">
        <x:v>Louisiana</x:v>
      </x:c>
      <x:c r="C184" s="70" t="n">
        <x:v>2023</x:v>
      </x:c>
      <x:c r="D184" s="61" t="n">
        <x:v>18.24</x:v>
      </x:c>
      <x:c r="E184" s="61" t="n">
        <x:v>19.26</x:v>
      </x:c>
    </x:row>
    <x:row r="185">
      <x:c r="A185" s="70" t="str">
        <x:v>US-22</x:v>
      </x:c>
      <x:c r="B185" s="70" t="str">
        <x:v>Louisiana</x:v>
      </x:c>
      <x:c r="C185" s="70" t="n">
        <x:v>2024</x:v>
      </x:c>
      <x:c r="D185" s="61" t="n">
        <x:v>14.33</x:v>
      </x:c>
      <x:c r="E185" s="61" t="n">
        <x:v>15.17</x:v>
      </x:c>
    </x:row>
    <x:row r="186">
      <x:c r="A186" s="70" t="str">
        <x:v>US-23</x:v>
      </x:c>
      <x:c r="B186" s="70" t="str">
        <x:v>Maine</x:v>
      </x:c>
      <x:c r="C186" s="70" t="n">
        <x:v>2015</x:v>
      </x:c>
      <x:c r="D186" s="61" t="n">
        <x:v>1.66</x:v>
      </x:c>
      <x:c r="E186" s="61" t="n">
        <x:v>1.72</x:v>
      </x:c>
    </x:row>
    <x:row r="187">
      <x:c r="A187" s="70" t="str">
        <x:v>US-23</x:v>
      </x:c>
      <x:c r="B187" s="70" t="str">
        <x:v>Maine</x:v>
      </x:c>
      <x:c r="C187" s="70" t="n">
        <x:v>2016</x:v>
      </x:c>
      <x:c r="D187" s="61" t="n">
        <x:v>1.43</x:v>
      </x:c>
      <x:c r="E187" s="61" t="n">
        <x:v>1.33</x:v>
      </x:c>
    </x:row>
    <x:row r="188">
      <x:c r="A188" s="70" t="str">
        <x:v>US-23</x:v>
      </x:c>
      <x:c r="B188" s="70" t="str">
        <x:v>Maine</x:v>
      </x:c>
      <x:c r="C188" s="70" t="n">
        <x:v>2017</x:v>
      </x:c>
      <x:c r="D188" s="61" t="n">
        <x:v>1.42</x:v>
      </x:c>
      <x:c r="E188" s="61" t="n">
        <x:v>1.47</x:v>
      </x:c>
    </x:row>
    <x:row r="189">
      <x:c r="A189" s="70" t="str">
        <x:v>US-23</x:v>
      </x:c>
      <x:c r="B189" s="70" t="str">
        <x:v>Maine</x:v>
      </x:c>
      <x:c r="C189" s="70" t="n">
        <x:v>2018</x:v>
      </x:c>
      <x:c r="D189" s="61" t="n">
        <x:v>1.42</x:v>
      </x:c>
      <x:c r="E189" s="61" t="n">
        <x:v>1.49</x:v>
      </x:c>
    </x:row>
    <x:row r="190">
      <x:c r="A190" s="70" t="str">
        <x:v>US-23</x:v>
      </x:c>
      <x:c r="B190" s="70" t="str">
        <x:v>Maine</x:v>
      </x:c>
      <x:c r="C190" s="70" t="n">
        <x:v>2019</x:v>
      </x:c>
      <x:c r="D190" s="61" t="n">
        <x:v>1.71</x:v>
      </x:c>
      <x:c r="E190" s="61" t="n">
        <x:v>1.84</x:v>
      </x:c>
    </x:row>
    <x:row r="191">
      <x:c r="A191" s="70" t="str">
        <x:v>US-23</x:v>
      </x:c>
      <x:c r="B191" s="70" t="str">
        <x:v>Maine</x:v>
      </x:c>
      <x:c r="C191" s="70" t="n">
        <x:v>2020</x:v>
      </x:c>
      <x:c r="D191" s="61" t="n">
        <x:v>1.54</x:v>
      </x:c>
      <x:c r="E191" s="61" t="n">
        <x:v>1.56</x:v>
      </x:c>
    </x:row>
    <x:row r="192">
      <x:c r="A192" s="70" t="str">
        <x:v>US-23</x:v>
      </x:c>
      <x:c r="B192" s="70" t="str">
        <x:v>Maine</x:v>
      </x:c>
      <x:c r="C192" s="70" t="n">
        <x:v>2021</x:v>
      </x:c>
      <x:c r="D192" s="61" t="n">
        <x:v>1.45</x:v>
      </x:c>
      <x:c r="E192" s="61" t="n">
        <x:v>1.73</x:v>
      </x:c>
    </x:row>
    <x:row r="193">
      <x:c r="A193" s="70" t="str">
        <x:v>US-23</x:v>
      </x:c>
      <x:c r="B193" s="70" t="str">
        <x:v>Maine</x:v>
      </x:c>
      <x:c r="C193" s="70" t="n">
        <x:v>2022</x:v>
      </x:c>
      <x:c r="D193" s="61" t="n">
        <x:v>2.3</x:v>
      </x:c>
      <x:c r="E193" s="61" t="n">
        <x:v>2.62</x:v>
      </x:c>
    </x:row>
    <x:row r="194">
      <x:c r="A194" s="70" t="str">
        <x:v>US-23</x:v>
      </x:c>
      <x:c r="B194" s="70" t="str">
        <x:v>Maine</x:v>
      </x:c>
      <x:c r="C194" s="70" t="n">
        <x:v>2023</x:v>
      </x:c>
      <x:c r="D194" s="61" t="n">
        <x:v>3.43</x:v>
      </x:c>
      <x:c r="E194" s="61" t="n">
        <x:v>3.46</x:v>
      </x:c>
    </x:row>
    <x:row r="195">
      <x:c r="A195" s="70" t="str">
        <x:v>US-23</x:v>
      </x:c>
      <x:c r="B195" s="70" t="str">
        <x:v>Maine</x:v>
      </x:c>
      <x:c r="C195" s="70" t="n">
        <x:v>2024</x:v>
      </x:c>
      <x:c r="D195" s="61" t="n">
        <x:v>2.42</x:v>
      </x:c>
      <x:c r="E195" s="61" t="n">
        <x:v>2.6</x:v>
      </x:c>
    </x:row>
    <x:row r="196">
      <x:c r="A196" s="70" t="str">
        <x:v>US-24</x:v>
      </x:c>
      <x:c r="B196" s="70" t="str">
        <x:v>Maryland</x:v>
      </x:c>
      <x:c r="C196" s="70" t="n">
        <x:v>2015</x:v>
      </x:c>
      <x:c r="D196" s="61" t="n">
        <x:v>9.95</x:v>
      </x:c>
      <x:c r="E196" s="61" t="n">
        <x:v>10.27</x:v>
      </x:c>
    </x:row>
    <x:row r="197">
      <x:c r="A197" s="70" t="str">
        <x:v>US-24</x:v>
      </x:c>
      <x:c r="B197" s="70" t="str">
        <x:v>Maryland</x:v>
      </x:c>
      <x:c r="C197" s="70" t="n">
        <x:v>2016</x:v>
      </x:c>
      <x:c r="D197" s="61" t="n">
        <x:v>9.64</x:v>
      </x:c>
      <x:c r="E197" s="61" t="n">
        <x:v>10.03</x:v>
      </x:c>
    </x:row>
    <x:row r="198">
      <x:c r="A198" s="70" t="str">
        <x:v>US-24</x:v>
      </x:c>
      <x:c r="B198" s="70" t="str">
        <x:v>Maryland</x:v>
      </x:c>
      <x:c r="C198" s="70" t="n">
        <x:v>2017</x:v>
      </x:c>
      <x:c r="D198" s="61" t="n">
        <x:v>9.74</x:v>
      </x:c>
      <x:c r="E198" s="61" t="n">
        <x:v>10.15</x:v>
      </x:c>
    </x:row>
    <x:row r="199">
      <x:c r="A199" s="70" t="str">
        <x:v>US-24</x:v>
      </x:c>
      <x:c r="B199" s="70" t="str">
        <x:v>Maryland</x:v>
      </x:c>
      <x:c r="C199" s="70" t="n">
        <x:v>2018</x:v>
      </x:c>
      <x:c r="D199" s="61" t="n">
        <x:v>8.95</x:v>
      </x:c>
      <x:c r="E199" s="61" t="n">
        <x:v>9.2</x:v>
      </x:c>
    </x:row>
    <x:row r="200">
      <x:c r="A200" s="70" t="str">
        <x:v>US-24</x:v>
      </x:c>
      <x:c r="B200" s="70" t="str">
        <x:v>Maryland</x:v>
      </x:c>
      <x:c r="C200" s="70" t="n">
        <x:v>2019</x:v>
      </x:c>
      <x:c r="D200" s="61" t="n">
        <x:v>9.55</x:v>
      </x:c>
      <x:c r="E200" s="61" t="n">
        <x:v>9.96</x:v>
      </x:c>
    </x:row>
    <x:row r="201">
      <x:c r="A201" s="70" t="str">
        <x:v>US-24</x:v>
      </x:c>
      <x:c r="B201" s="70" t="str">
        <x:v>Maryland</x:v>
      </x:c>
      <x:c r="C201" s="70" t="n">
        <x:v>2020</x:v>
      </x:c>
      <x:c r="D201" s="61" t="n">
        <x:v>10.51</x:v>
      </x:c>
      <x:c r="E201" s="61" t="n">
        <x:v>11.12</x:v>
      </x:c>
    </x:row>
    <x:row r="202">
      <x:c r="A202" s="70" t="str">
        <x:v>US-24</x:v>
      </x:c>
      <x:c r="B202" s="70" t="str">
        <x:v>Maryland</x:v>
      </x:c>
      <x:c r="C202" s="70" t="n">
        <x:v>2021</x:v>
      </x:c>
      <x:c r="D202" s="61" t="n">
        <x:v>11.47</x:v>
      </x:c>
      <x:c r="E202" s="61" t="n">
        <x:v>12.17</x:v>
      </x:c>
    </x:row>
    <x:row r="203">
      <x:c r="A203" s="70" t="str">
        <x:v>US-24</x:v>
      </x:c>
      <x:c r="B203" s="70" t="str">
        <x:v>Maryland</x:v>
      </x:c>
      <x:c r="C203" s="70" t="n">
        <x:v>2022</x:v>
      </x:c>
      <x:c r="D203" s="61" t="n">
        <x:v>10.63</x:v>
      </x:c>
      <x:c r="E203" s="61" t="n">
        <x:v>11.31</x:v>
      </x:c>
    </x:row>
    <x:row r="204">
      <x:c r="A204" s="70" t="str">
        <x:v>US-24</x:v>
      </x:c>
      <x:c r="B204" s="70" t="str">
        <x:v>Maryland</x:v>
      </x:c>
      <x:c r="C204" s="70" t="n">
        <x:v>2023</x:v>
      </x:c>
      <x:c r="D204" s="61" t="n">
        <x:v>9.36</x:v>
      </x:c>
      <x:c r="E204" s="61" t="n">
        <x:v>9.99</x:v>
      </x:c>
    </x:row>
    <x:row r="205">
      <x:c r="A205" s="70" t="str">
        <x:v>US-24</x:v>
      </x:c>
      <x:c r="B205" s="70" t="str">
        <x:v>Maryland</x:v>
      </x:c>
      <x:c r="C205" s="70" t="n">
        <x:v>2024</x:v>
      </x:c>
      <x:c r="D205" s="61" t="n">
        <x:v>8.45</x:v>
      </x:c>
      <x:c r="E205" s="61" t="n">
        <x:v>9</x:v>
      </x:c>
    </x:row>
    <x:row r="206">
      <x:c r="A206" s="70" t="str">
        <x:v>US-25</x:v>
      </x:c>
      <x:c r="B206" s="70" t="str">
        <x:v>Massachusetts</x:v>
      </x:c>
      <x:c r="C206" s="70" t="n">
        <x:v>2015</x:v>
      </x:c>
      <x:c r="D206" s="61" t="n">
        <x:v>2.12</x:v>
      </x:c>
      <x:c r="E206" s="61" t="n">
        <x:v>2.14</x:v>
      </x:c>
    </x:row>
    <x:row r="207">
      <x:c r="A207" s="70" t="str">
        <x:v>US-25</x:v>
      </x:c>
      <x:c r="B207" s="70" t="str">
        <x:v>Massachusetts</x:v>
      </x:c>
      <x:c r="C207" s="70" t="n">
        <x:v>2016</x:v>
      </x:c>
      <x:c r="D207" s="61" t="n">
        <x:v>2.01</x:v>
      </x:c>
      <x:c r="E207" s="61" t="n">
        <x:v>2.04</x:v>
      </x:c>
    </x:row>
    <x:row r="208">
      <x:c r="A208" s="70" t="str">
        <x:v>US-25</x:v>
      </x:c>
      <x:c r="B208" s="70" t="str">
        <x:v>Massachusetts</x:v>
      </x:c>
      <x:c r="C208" s="70" t="n">
        <x:v>2017</x:v>
      </x:c>
      <x:c r="D208" s="61" t="n">
        <x:v>2.49</x:v>
      </x:c>
      <x:c r="E208" s="61" t="n">
        <x:v>2.6</x:v>
      </x:c>
    </x:row>
    <x:row r="209">
      <x:c r="A209" s="70" t="str">
        <x:v>US-25</x:v>
      </x:c>
      <x:c r="B209" s="70" t="str">
        <x:v>Massachusetts</x:v>
      </x:c>
      <x:c r="C209" s="70" t="n">
        <x:v>2018</x:v>
      </x:c>
      <x:c r="D209" s="61" t="n">
        <x:v>2.3</x:v>
      </x:c>
      <x:c r="E209" s="61" t="n">
        <x:v>2.33</x:v>
      </x:c>
    </x:row>
    <x:row r="210">
      <x:c r="A210" s="70" t="str">
        <x:v>US-25</x:v>
      </x:c>
      <x:c r="B210" s="70" t="str">
        <x:v>Massachusetts</x:v>
      </x:c>
      <x:c r="C210" s="70" t="n">
        <x:v>2019</x:v>
      </x:c>
      <x:c r="D210" s="61" t="n">
        <x:v>2.28</x:v>
      </x:c>
      <x:c r="E210" s="61" t="n">
        <x:v>2.32</x:v>
      </x:c>
    </x:row>
    <x:row r="211">
      <x:c r="A211" s="70" t="str">
        <x:v>US-25</x:v>
      </x:c>
      <x:c r="B211" s="70" t="str">
        <x:v>Massachusetts</x:v>
      </x:c>
      <x:c r="C211" s="70" t="n">
        <x:v>2020</x:v>
      </x:c>
      <x:c r="D211" s="61" t="n">
        <x:v>2.62</x:v>
      </x:c>
      <x:c r="E211" s="61" t="n">
        <x:v>2.62</x:v>
      </x:c>
    </x:row>
    <x:row r="212">
      <x:c r="A212" s="70" t="str">
        <x:v>US-25</x:v>
      </x:c>
      <x:c r="B212" s="70" t="str">
        <x:v>Massachusetts</x:v>
      </x:c>
      <x:c r="C212" s="70" t="n">
        <x:v>2021</x:v>
      </x:c>
      <x:c r="D212" s="61" t="n">
        <x:v>2.29</x:v>
      </x:c>
      <x:c r="E212" s="61" t="n">
        <x:v>2.26</x:v>
      </x:c>
    </x:row>
    <x:row r="213">
      <x:c r="A213" s="70" t="str">
        <x:v>US-25</x:v>
      </x:c>
      <x:c r="B213" s="70" t="str">
        <x:v>Massachusetts</x:v>
      </x:c>
      <x:c r="C213" s="70" t="n">
        <x:v>2022</x:v>
      </x:c>
      <x:c r="D213" s="61" t="n">
        <x:v>2.44</x:v>
      </x:c>
      <x:c r="E213" s="61" t="n">
        <x:v>2.48</x:v>
      </x:c>
    </x:row>
    <x:row r="214">
      <x:c r="A214" s="70" t="str">
        <x:v>US-25</x:v>
      </x:c>
      <x:c r="B214" s="70" t="str">
        <x:v>Massachusetts</x:v>
      </x:c>
      <x:c r="C214" s="70" t="n">
        <x:v>2023</x:v>
      </x:c>
      <x:c r="D214" s="61" t="n">
        <x:v>2.58</x:v>
      </x:c>
      <x:c r="E214" s="61" t="n">
        <x:v>2.65</x:v>
      </x:c>
    </x:row>
    <x:row r="215">
      <x:c r="A215" s="70" t="str">
        <x:v>US-25</x:v>
      </x:c>
      <x:c r="B215" s="70" t="str">
        <x:v>Massachusetts</x:v>
      </x:c>
      <x:c r="C215" s="70" t="n">
        <x:v>2024</x:v>
      </x:c>
      <x:c r="D215" s="61" t="n">
        <x:v>2.14</x:v>
      </x:c>
      <x:c r="E215" s="61" t="n">
        <x:v>2.24</x:v>
      </x:c>
    </x:row>
    <x:row r="216">
      <x:c r="A216" s="70" t="str">
        <x:v>US-26</x:v>
      </x:c>
      <x:c r="B216" s="70" t="str">
        <x:v>Michigan</x:v>
      </x:c>
      <x:c r="C216" s="70" t="n">
        <x:v>2015</x:v>
      </x:c>
      <x:c r="D216" s="61" t="n">
        <x:v>6.01</x:v>
      </x:c>
      <x:c r="E216" s="61" t="n">
        <x:v>6.4</x:v>
      </x:c>
    </x:row>
    <x:row r="217">
      <x:c r="A217" s="70" t="str">
        <x:v>US-26</x:v>
      </x:c>
      <x:c r="B217" s="70" t="str">
        <x:v>Michigan</x:v>
      </x:c>
      <x:c r="C217" s="70" t="n">
        <x:v>2016</x:v>
      </x:c>
      <x:c r="D217" s="61" t="n">
        <x:v>6.27</x:v>
      </x:c>
      <x:c r="E217" s="61" t="n">
        <x:v>6.58</x:v>
      </x:c>
    </x:row>
    <x:row r="218">
      <x:c r="A218" s="70" t="str">
        <x:v>US-26</x:v>
      </x:c>
      <x:c r="B218" s="70" t="str">
        <x:v>Michigan</x:v>
      </x:c>
      <x:c r="C218" s="70" t="n">
        <x:v>2017</x:v>
      </x:c>
      <x:c r="D218" s="61" t="n">
        <x:v>5.89</x:v>
      </x:c>
      <x:c r="E218" s="61" t="n">
        <x:v>6.16</x:v>
      </x:c>
    </x:row>
    <x:row r="219">
      <x:c r="A219" s="70" t="str">
        <x:v>US-26</x:v>
      </x:c>
      <x:c r="B219" s="70" t="str">
        <x:v>Michigan</x:v>
      </x:c>
      <x:c r="C219" s="70" t="n">
        <x:v>2018</x:v>
      </x:c>
      <x:c r="D219" s="61" t="n">
        <x:v>6.14</x:v>
      </x:c>
      <x:c r="E219" s="61" t="n">
        <x:v>6.38</x:v>
      </x:c>
    </x:row>
    <x:row r="220">
      <x:c r="A220" s="70" t="str">
        <x:v>US-26</x:v>
      </x:c>
      <x:c r="B220" s="70" t="str">
        <x:v>Michigan</x:v>
      </x:c>
      <x:c r="C220" s="70" t="n">
        <x:v>2019</x:v>
      </x:c>
      <x:c r="D220" s="61" t="n">
        <x:v>6.13</x:v>
      </x:c>
      <x:c r="E220" s="61" t="n">
        <x:v>6.4</x:v>
      </x:c>
    </x:row>
    <x:row r="221">
      <x:c r="A221" s="70" t="str">
        <x:v>US-26</x:v>
      </x:c>
      <x:c r="B221" s="70" t="str">
        <x:v>Michigan</x:v>
      </x:c>
      <x:c r="C221" s="70" t="n">
        <x:v>2020</x:v>
      </x:c>
      <x:c r="D221" s="61" t="n">
        <x:v>8.05</x:v>
      </x:c>
      <x:c r="E221" s="61" t="n">
        <x:v>8.58</x:v>
      </x:c>
    </x:row>
    <x:row r="222">
      <x:c r="A222" s="70" t="str">
        <x:v>US-26</x:v>
      </x:c>
      <x:c r="B222" s="70" t="str">
        <x:v>Michigan</x:v>
      </x:c>
      <x:c r="C222" s="70" t="n">
        <x:v>2021</x:v>
      </x:c>
      <x:c r="D222" s="61" t="n">
        <x:v>8.19</x:v>
      </x:c>
      <x:c r="E222" s="61" t="n">
        <x:v>8.67</x:v>
      </x:c>
    </x:row>
    <x:row r="223">
      <x:c r="A223" s="70" t="str">
        <x:v>US-26</x:v>
      </x:c>
      <x:c r="B223" s="70" t="str">
        <x:v>Michigan</x:v>
      </x:c>
      <x:c r="C223" s="70" t="n">
        <x:v>2022</x:v>
      </x:c>
      <x:c r="D223" s="61" t="n">
        <x:v>7.97</x:v>
      </x:c>
      <x:c r="E223" s="61" t="n">
        <x:v>8.56</x:v>
      </x:c>
    </x:row>
    <x:row r="224">
      <x:c r="A224" s="70" t="str">
        <x:v>US-26</x:v>
      </x:c>
      <x:c r="B224" s="70" t="str">
        <x:v>Michigan</x:v>
      </x:c>
      <x:c r="C224" s="70" t="n">
        <x:v>2023</x:v>
      </x:c>
      <x:c r="D224" s="61" t="n">
        <x:v>6.32</x:v>
      </x:c>
      <x:c r="E224" s="61" t="n">
        <x:v>6.79</x:v>
      </x:c>
    </x:row>
    <x:row r="225">
      <x:c r="A225" s="70" t="str">
        <x:v>US-26</x:v>
      </x:c>
      <x:c r="B225" s="70" t="str">
        <x:v>Michigan</x:v>
      </x:c>
      <x:c r="C225" s="70" t="n">
        <x:v>2024</x:v>
      </x:c>
      <x:c r="D225" s="61" t="n">
        <x:v>5.31</x:v>
      </x:c>
      <x:c r="E225" s="61" t="n">
        <x:v>5.7</x:v>
      </x:c>
    </x:row>
    <x:row r="226">
      <x:c r="A226" s="70" t="str">
        <x:v>US-27</x:v>
      </x:c>
      <x:c r="B226" s="70" t="str">
        <x:v>Minnesota</x:v>
      </x:c>
      <x:c r="C226" s="70" t="n">
        <x:v>2015</x:v>
      </x:c>
      <x:c r="D226" s="61" t="n">
        <x:v>2.68</x:v>
      </x:c>
      <x:c r="E226" s="61" t="n">
        <x:v>2.79</x:v>
      </x:c>
    </x:row>
    <x:row r="227">
      <x:c r="A227" s="70" t="str">
        <x:v>US-27</x:v>
      </x:c>
      <x:c r="B227" s="70" t="str">
        <x:v>Minnesota</x:v>
      </x:c>
      <x:c r="C227" s="70" t="n">
        <x:v>2016</x:v>
      </x:c>
      <x:c r="D227" s="61" t="n">
        <x:v>2.34</x:v>
      </x:c>
      <x:c r="E227" s="61" t="n">
        <x:v>2.39</x:v>
      </x:c>
    </x:row>
    <x:row r="228">
      <x:c r="A228" s="70" t="str">
        <x:v>US-27</x:v>
      </x:c>
      <x:c r="B228" s="70" t="str">
        <x:v>Minnesota</x:v>
      </x:c>
      <x:c r="C228" s="70" t="n">
        <x:v>2017</x:v>
      </x:c>
      <x:c r="D228" s="61" t="n">
        <x:v>2.19</x:v>
      </x:c>
      <x:c r="E228" s="61" t="n">
        <x:v>2.24</x:v>
      </x:c>
    </x:row>
    <x:row r="229">
      <x:c r="A229" s="70" t="str">
        <x:v>US-27</x:v>
      </x:c>
      <x:c r="B229" s="70" t="str">
        <x:v>Minnesota</x:v>
      </x:c>
      <x:c r="C229" s="70" t="n">
        <x:v>2018</x:v>
      </x:c>
      <x:c r="D229" s="61" t="n">
        <x:v>2.18</x:v>
      </x:c>
      <x:c r="E229" s="61" t="n">
        <x:v>2.31</x:v>
      </x:c>
    </x:row>
    <x:row r="230">
      <x:c r="A230" s="70" t="str">
        <x:v>US-27</x:v>
      </x:c>
      <x:c r="B230" s="70" t="str">
        <x:v>Minnesota</x:v>
      </x:c>
      <x:c r="C230" s="70" t="n">
        <x:v>2019</x:v>
      </x:c>
      <x:c r="D230" s="61" t="n">
        <x:v>2.73</x:v>
      </x:c>
      <x:c r="E230" s="61" t="n">
        <x:v>2.83</x:v>
      </x:c>
    </x:row>
    <x:row r="231">
      <x:c r="A231" s="70" t="str">
        <x:v>US-27</x:v>
      </x:c>
      <x:c r="B231" s="70" t="str">
        <x:v>Minnesota</x:v>
      </x:c>
      <x:c r="C231" s="70" t="n">
        <x:v>2020</x:v>
      </x:c>
      <x:c r="D231" s="61" t="n">
        <x:v>3.47</x:v>
      </x:c>
      <x:c r="E231" s="61" t="n">
        <x:v>3.58</x:v>
      </x:c>
    </x:row>
    <x:row r="232">
      <x:c r="A232" s="70" t="str">
        <x:v>US-27</x:v>
      </x:c>
      <x:c r="B232" s="70" t="str">
        <x:v>Minnesota</x:v>
      </x:c>
      <x:c r="C232" s="70" t="n">
        <x:v>2021</x:v>
      </x:c>
      <x:c r="D232" s="61" t="n">
        <x:v>4.06</x:v>
      </x:c>
      <x:c r="E232" s="61" t="n">
        <x:v>4.31</x:v>
      </x:c>
    </x:row>
    <x:row r="233">
      <x:c r="A233" s="70" t="str">
        <x:v>US-27</x:v>
      </x:c>
      <x:c r="B233" s="70" t="str">
        <x:v>Minnesota</x:v>
      </x:c>
      <x:c r="C233" s="70" t="n">
        <x:v>2022</x:v>
      </x:c>
      <x:c r="D233" s="61" t="n">
        <x:v>3.62</x:v>
      </x:c>
      <x:c r="E233" s="61" t="n">
        <x:v>3.79</x:v>
      </x:c>
    </x:row>
    <x:row r="234">
      <x:c r="A234" s="70" t="str">
        <x:v>US-27</x:v>
      </x:c>
      <x:c r="B234" s="70" t="str">
        <x:v>Minnesota</x:v>
      </x:c>
      <x:c r="C234" s="70" t="n">
        <x:v>2023</x:v>
      </x:c>
      <x:c r="D234" s="61" t="n">
        <x:v>3.42</x:v>
      </x:c>
      <x:c r="E234" s="61" t="n">
        <x:v>3.58</x:v>
      </x:c>
    </x:row>
    <x:row r="235">
      <x:c r="A235" s="70" t="str">
        <x:v>US-27</x:v>
      </x:c>
      <x:c r="B235" s="70" t="str">
        <x:v>Minnesota</x:v>
      </x:c>
      <x:c r="C235" s="70" t="n">
        <x:v>2024</x:v>
      </x:c>
      <x:c r="D235" s="61" t="n">
        <x:v>3.31</x:v>
      </x:c>
      <x:c r="E235" s="61" t="n">
        <x:v>3.45</x:v>
      </x:c>
    </x:row>
    <x:row r="236">
      <x:c r="A236" s="70" t="str">
        <x:v>US-28</x:v>
      </x:c>
      <x:c r="B236" s="70" t="str">
        <x:v>Mississippi</x:v>
      </x:c>
      <x:c r="C236" s="70" t="n">
        <x:v>2015</x:v>
      </x:c>
      <x:c r="D236" s="61" t="n">
        <x:v>10.87</x:v>
      </x:c>
      <x:c r="E236" s="61" t="n">
        <x:v>11.18</x:v>
      </x:c>
    </x:row>
    <x:row r="237">
      <x:c r="A237" s="70" t="str">
        <x:v>US-28</x:v>
      </x:c>
      <x:c r="B237" s="70" t="str">
        <x:v>Mississippi</x:v>
      </x:c>
      <x:c r="C237" s="70" t="n">
        <x:v>2016</x:v>
      </x:c>
      <x:c r="D237" s="61" t="n">
        <x:v>11.54</x:v>
      </x:c>
      <x:c r="E237" s="61" t="n">
        <x:v>11.98</x:v>
      </x:c>
    </x:row>
    <x:row r="238">
      <x:c r="A238" s="70" t="str">
        <x:v>US-28</x:v>
      </x:c>
      <x:c r="B238" s="70" t="str">
        <x:v>Mississippi</x:v>
      </x:c>
      <x:c r="C238" s="70" t="n">
        <x:v>2017</x:v>
      </x:c>
      <x:c r="D238" s="61" t="n">
        <x:v>12.04</x:v>
      </x:c>
      <x:c r="E238" s="61" t="n">
        <x:v>12.61</x:v>
      </x:c>
    </x:row>
    <x:row r="239">
      <x:c r="A239" s="70" t="str">
        <x:v>US-28</x:v>
      </x:c>
      <x:c r="B239" s="70" t="str">
        <x:v>Mississippi</x:v>
      </x:c>
      <x:c r="C239" s="70" t="n">
        <x:v>2018</x:v>
      </x:c>
      <x:c r="D239" s="61" t="n">
        <x:v>12.81</x:v>
      </x:c>
      <x:c r="E239" s="61" t="n">
        <x:v>13.35</x:v>
      </x:c>
    </x:row>
    <x:row r="240">
      <x:c r="A240" s="70" t="str">
        <x:v>US-28</x:v>
      </x:c>
      <x:c r="B240" s="70" t="str">
        <x:v>Mississippi</x:v>
      </x:c>
      <x:c r="C240" s="70" t="n">
        <x:v>2019</x:v>
      </x:c>
      <x:c r="D240" s="61" t="n">
        <x:v>14.57</x:v>
      </x:c>
      <x:c r="E240" s="61" t="n">
        <x:v>15.39</x:v>
      </x:c>
    </x:row>
    <x:row r="241">
      <x:c r="A241" s="70" t="str">
        <x:v>US-28</x:v>
      </x:c>
      <x:c r="B241" s="70" t="str">
        <x:v>Mississippi</x:v>
      </x:c>
      <x:c r="C241" s="70" t="n">
        <x:v>2020</x:v>
      </x:c>
      <x:c r="D241" s="61" t="n">
        <x:v>19.47</x:v>
      </x:c>
      <x:c r="E241" s="61" t="n">
        <x:v>20.56</x:v>
      </x:c>
    </x:row>
    <x:row r="242">
      <x:c r="A242" s="70" t="str">
        <x:v>US-28</x:v>
      </x:c>
      <x:c r="B242" s="70" t="str">
        <x:v>Mississippi</x:v>
      </x:c>
      <x:c r="C242" s="70" t="n">
        <x:v>2021</x:v>
      </x:c>
      <x:c r="D242" s="61" t="n">
        <x:v>22.26</x:v>
      </x:c>
      <x:c r="E242" s="61" t="n">
        <x:v>23.61</x:v>
      </x:c>
    </x:row>
    <x:row r="243">
      <x:c r="A243" s="70" t="str">
        <x:v>US-28</x:v>
      </x:c>
      <x:c r="B243" s="70" t="str">
        <x:v>Mississippi</x:v>
      </x:c>
      <x:c r="C243" s="70" t="n">
        <x:v>2022</x:v>
      </x:c>
      <x:c r="D243" s="61" t="n">
        <x:v>19.58</x:v>
      </x:c>
      <x:c r="E243" s="61" t="n">
        <x:v>20.75</x:v>
      </x:c>
    </x:row>
    <x:row r="244">
      <x:c r="A244" s="70" t="str">
        <x:v>US-28</x:v>
      </x:c>
      <x:c r="B244" s="70" t="str">
        <x:v>Mississippi</x:v>
      </x:c>
      <x:c r="C244" s="70" t="n">
        <x:v>2023</x:v>
      </x:c>
      <x:c r="D244" s="61" t="n">
        <x:v>18.45</x:v>
      </x:c>
      <x:c r="E244" s="61" t="n">
        <x:v>19.36</x:v>
      </x:c>
    </x:row>
    <x:row r="245">
      <x:c r="A245" s="70" t="str">
        <x:v>US-28</x:v>
      </x:c>
      <x:c r="B245" s="70" t="str">
        <x:v>Mississippi</x:v>
      </x:c>
      <x:c r="C245" s="70" t="n">
        <x:v>2024</x:v>
      </x:c>
      <x:c r="D245" s="61" t="n">
        <x:v>18.62</x:v>
      </x:c>
      <x:c r="E245" s="61" t="n">
        <x:v>19.66</x:v>
      </x:c>
    </x:row>
    <x:row r="246">
      <x:c r="A246" s="70" t="str">
        <x:v>US-29</x:v>
      </x:c>
      <x:c r="B246" s="70" t="str">
        <x:v>Missouri</x:v>
      </x:c>
      <x:c r="C246" s="70" t="n">
        <x:v>2015</x:v>
      </x:c>
      <x:c r="D246" s="61" t="n">
        <x:v>9</x:v>
      </x:c>
      <x:c r="E246" s="61" t="n">
        <x:v>9.51</x:v>
      </x:c>
    </x:row>
    <x:row r="247">
      <x:c r="A247" s="70" t="str">
        <x:v>US-29</x:v>
      </x:c>
      <x:c r="B247" s="70" t="str">
        <x:v>Missouri</x:v>
      </x:c>
      <x:c r="C247" s="70" t="n">
        <x:v>2016</x:v>
      </x:c>
      <x:c r="D247" s="61" t="n">
        <x:v>9.36</x:v>
      </x:c>
      <x:c r="E247" s="61" t="n">
        <x:v>9.87</x:v>
      </x:c>
    </x:row>
    <x:row r="248">
      <x:c r="A248" s="70" t="str">
        <x:v>US-29</x:v>
      </x:c>
      <x:c r="B248" s="70" t="str">
        <x:v>Missouri</x:v>
      </x:c>
      <x:c r="C248" s="70" t="n">
        <x:v>2017</x:v>
      </x:c>
      <x:c r="D248" s="61" t="n">
        <x:v>10.72</x:v>
      </x:c>
      <x:c r="E248" s="61" t="n">
        <x:v>11.19</x:v>
      </x:c>
    </x:row>
    <x:row r="249">
      <x:c r="A249" s="70" t="str">
        <x:v>US-29</x:v>
      </x:c>
      <x:c r="B249" s="70" t="str">
        <x:v>Missouri</x:v>
      </x:c>
      <x:c r="C249" s="70" t="n">
        <x:v>2018</x:v>
      </x:c>
      <x:c r="D249" s="61" t="n">
        <x:v>10.74</x:v>
      </x:c>
      <x:c r="E249" s="61" t="n">
        <x:v>11.37</x:v>
      </x:c>
    </x:row>
    <x:row r="250">
      <x:c r="A250" s="70" t="str">
        <x:v>US-29</x:v>
      </x:c>
      <x:c r="B250" s="70" t="str">
        <x:v>Missouri</x:v>
      </x:c>
      <x:c r="C250" s="70" t="n">
        <x:v>2019</x:v>
      </x:c>
      <x:c r="D250" s="61" t="n">
        <x:v>10.23</x:v>
      </x:c>
      <x:c r="E250" s="61" t="n">
        <x:v>10.79</x:v>
      </x:c>
    </x:row>
    <x:row r="251">
      <x:c r="A251" s="70" t="str">
        <x:v>US-29</x:v>
      </x:c>
      <x:c r="B251" s="70" t="str">
        <x:v>Missouri</x:v>
      </x:c>
      <x:c r="C251" s="70" t="n">
        <x:v>2020</x:v>
      </x:c>
      <x:c r="D251" s="61" t="n">
        <x:v>13.05</x:v>
      </x:c>
      <x:c r="E251" s="61" t="n">
        <x:v>13.83</x:v>
      </x:c>
    </x:row>
    <x:row r="252">
      <x:c r="A252" s="70" t="str">
        <x:v>US-29</x:v>
      </x:c>
      <x:c r="B252" s="70" t="str">
        <x:v>Missouri</x:v>
      </x:c>
      <x:c r="C252" s="70" t="n">
        <x:v>2021</x:v>
      </x:c>
      <x:c r="D252" s="61" t="n">
        <x:v>11.6</x:v>
      </x:c>
      <x:c r="E252" s="61" t="n">
        <x:v>12.36</x:v>
      </x:c>
    </x:row>
    <x:row r="253">
      <x:c r="A253" s="70" t="str">
        <x:v>US-29</x:v>
      </x:c>
      <x:c r="B253" s="70" t="str">
        <x:v>Missouri</x:v>
      </x:c>
      <x:c r="C253" s="70" t="n">
        <x:v>2022</x:v>
      </x:c>
      <x:c r="D253" s="61" t="n">
        <x:v>12.04</x:v>
      </x:c>
      <x:c r="E253" s="61" t="n">
        <x:v>12.8</x:v>
      </x:c>
    </x:row>
    <x:row r="254">
      <x:c r="A254" s="70" t="str">
        <x:v>US-29</x:v>
      </x:c>
      <x:c r="B254" s="70" t="str">
        <x:v>Missouri</x:v>
      </x:c>
      <x:c r="C254" s="70" t="n">
        <x:v>2023</x:v>
      </x:c>
      <x:c r="D254" s="61" t="n">
        <x:v>9.86</x:v>
      </x:c>
      <x:c r="E254" s="61" t="n">
        <x:v>10.41</x:v>
      </x:c>
    </x:row>
    <x:row r="255">
      <x:c r="A255" s="70" t="str">
        <x:v>US-29</x:v>
      </x:c>
      <x:c r="B255" s="70" t="str">
        <x:v>Missouri</x:v>
      </x:c>
      <x:c r="C255" s="70" t="n">
        <x:v>2024</x:v>
      </x:c>
      <x:c r="D255" s="61" t="n">
        <x:v>8.89</x:v>
      </x:c>
      <x:c r="E255" s="61" t="n">
        <x:v>9.36</x:v>
      </x:c>
    </x:row>
    <x:row r="256">
      <x:c r="A256" s="70" t="str">
        <x:v>US-30</x:v>
      </x:c>
      <x:c r="B256" s="70" t="str">
        <x:v>Montana</x:v>
      </x:c>
      <x:c r="C256" s="70" t="n">
        <x:v>2015</x:v>
      </x:c>
      <x:c r="D256" s="61" t="n">
        <x:v>3.68</x:v>
      </x:c>
      <x:c r="E256" s="61" t="n">
        <x:v>3.96</x:v>
      </x:c>
    </x:row>
    <x:row r="257">
      <x:c r="A257" s="70" t="str">
        <x:v>US-30</x:v>
      </x:c>
      <x:c r="B257" s="70" t="str">
        <x:v>Montana</x:v>
      </x:c>
      <x:c r="C257" s="70" t="n">
        <x:v>2016</x:v>
      </x:c>
      <x:c r="D257" s="61" t="n">
        <x:v>4.03</x:v>
      </x:c>
      <x:c r="E257" s="61" t="n">
        <x:v>4.3</x:v>
      </x:c>
    </x:row>
    <x:row r="258">
      <x:c r="A258" s="70" t="str">
        <x:v>US-30</x:v>
      </x:c>
      <x:c r="B258" s="70" t="str">
        <x:v>Montana</x:v>
      </x:c>
      <x:c r="C258" s="70" t="n">
        <x:v>2017</x:v>
      </x:c>
      <x:c r="D258" s="61" t="n">
        <x:v>3.99</x:v>
      </x:c>
      <x:c r="E258" s="61" t="n">
        <x:v>4.31</x:v>
      </x:c>
    </x:row>
    <x:row r="259">
      <x:c r="A259" s="70" t="str">
        <x:v>US-30</x:v>
      </x:c>
      <x:c r="B259" s="70" t="str">
        <x:v>Montana</x:v>
      </x:c>
      <x:c r="C259" s="70" t="n">
        <x:v>2018</x:v>
      </x:c>
      <x:c r="D259" s="61" t="n">
        <x:v>3.96</x:v>
      </x:c>
      <x:c r="E259" s="61" t="n">
        <x:v>4.19</x:v>
      </x:c>
    </x:row>
    <x:row r="260">
      <x:c r="A260" s="70" t="str">
        <x:v>US-30</x:v>
      </x:c>
      <x:c r="B260" s="70" t="str">
        <x:v>Montana</x:v>
      </x:c>
      <x:c r="C260" s="70" t="n">
        <x:v>2019</x:v>
      </x:c>
      <x:c r="D260" s="61" t="n">
        <x:v>3.64</x:v>
      </x:c>
      <x:c r="E260" s="61" t="n">
        <x:v>3.7</x:v>
      </x:c>
    </x:row>
    <x:row r="261">
      <x:c r="A261" s="70" t="str">
        <x:v>US-30</x:v>
      </x:c>
      <x:c r="B261" s="70" t="str">
        <x:v>Montana</x:v>
      </x:c>
      <x:c r="C261" s="70" t="n">
        <x:v>2020</x:v>
      </x:c>
      <x:c r="D261" s="61" t="n">
        <x:v>5.98</x:v>
      </x:c>
      <x:c r="E261" s="61" t="n">
        <x:v>6.61</x:v>
      </x:c>
    </x:row>
    <x:row r="262">
      <x:c r="A262" s="70" t="str">
        <x:v>US-30</x:v>
      </x:c>
      <x:c r="B262" s="70" t="str">
        <x:v>Montana</x:v>
      </x:c>
      <x:c r="C262" s="70" t="n">
        <x:v>2021</x:v>
      </x:c>
      <x:c r="D262" s="61" t="n">
        <x:v>4.16</x:v>
      </x:c>
      <x:c r="E262" s="61" t="n">
        <x:v>4.37</x:v>
      </x:c>
    </x:row>
    <x:row r="263">
      <x:c r="A263" s="70" t="str">
        <x:v>US-30</x:v>
      </x:c>
      <x:c r="B263" s="70" t="str">
        <x:v>Montana</x:v>
      </x:c>
      <x:c r="C263" s="70" t="n">
        <x:v>2022</x:v>
      </x:c>
      <x:c r="D263" s="61" t="n">
        <x:v>5.08</x:v>
      </x:c>
      <x:c r="E263" s="61" t="n">
        <x:v>5.39</x:v>
      </x:c>
    </x:row>
    <x:row r="264">
      <x:c r="A264" s="70" t="str">
        <x:v>US-30</x:v>
      </x:c>
      <x:c r="B264" s="70" t="str">
        <x:v>Montana</x:v>
      </x:c>
      <x:c r="C264" s="70" t="n">
        <x:v>2023</x:v>
      </x:c>
      <x:c r="D264" s="61" t="n">
        <x:v>4.42</x:v>
      </x:c>
      <x:c r="E264" s="61" t="n">
        <x:v>4.56</x:v>
      </x:c>
    </x:row>
    <x:row r="265">
      <x:c r="A265" s="70" t="str">
        <x:v>US-30</x:v>
      </x:c>
      <x:c r="B265" s="70" t="str">
        <x:v>Montana</x:v>
      </x:c>
      <x:c r="C265" s="70" t="n">
        <x:v>2024</x:v>
      </x:c>
      <x:c r="D265" s="61" t="n">
        <x:v>4.22</x:v>
      </x:c>
      <x:c r="E265" s="61" t="n">
        <x:v>4.59</x:v>
      </x:c>
    </x:row>
    <x:row r="266">
      <x:c r="A266" s="70" t="str">
        <x:v>US-31</x:v>
      </x:c>
      <x:c r="B266" s="70" t="str">
        <x:v>Nebraska</x:v>
      </x:c>
      <x:c r="C266" s="70" t="n">
        <x:v>2015</x:v>
      </x:c>
      <x:c r="D266" s="61" t="n">
        <x:v>3.96</x:v>
      </x:c>
      <x:c r="E266" s="61" t="n">
        <x:v>4.02</x:v>
      </x:c>
    </x:row>
    <x:row r="267">
      <x:c r="A267" s="70" t="str">
        <x:v>US-31</x:v>
      </x:c>
      <x:c r="B267" s="70" t="str">
        <x:v>Nebraska</x:v>
      </x:c>
      <x:c r="C267" s="70" t="n">
        <x:v>2016</x:v>
      </x:c>
      <x:c r="D267" s="61" t="n">
        <x:v>3.15</x:v>
      </x:c>
      <x:c r="E267" s="61" t="n">
        <x:v>3.34</x:v>
      </x:c>
    </x:row>
    <x:row r="268">
      <x:c r="A268" s="70" t="str">
        <x:v>US-31</x:v>
      </x:c>
      <x:c r="B268" s="70" t="str">
        <x:v>Nebraska</x:v>
      </x:c>
      <x:c r="C268" s="70" t="n">
        <x:v>2017</x:v>
      </x:c>
      <x:c r="D268" s="61" t="n">
        <x:v>2.61</x:v>
      </x:c>
      <x:c r="E268" s="61" t="n">
        <x:v>2.73</x:v>
      </x:c>
    </x:row>
    <x:row r="269">
      <x:c r="A269" s="70" t="str">
        <x:v>US-31</x:v>
      </x:c>
      <x:c r="B269" s="70" t="str">
        <x:v>Nebraska</x:v>
      </x:c>
      <x:c r="C269" s="70" t="n">
        <x:v>2018</x:v>
      </x:c>
      <x:c r="D269" s="61" t="n">
        <x:v>1.82</x:v>
      </x:c>
      <x:c r="E269" s="61" t="n">
        <x:v>1.88</x:v>
      </x:c>
    </x:row>
    <x:row r="270">
      <x:c r="A270" s="70" t="str">
        <x:v>US-31</x:v>
      </x:c>
      <x:c r="B270" s="70" t="str">
        <x:v>Nebraska</x:v>
      </x:c>
      <x:c r="C270" s="70" t="n">
        <x:v>2019</x:v>
      </x:c>
      <x:c r="D270" s="61" t="n">
        <x:v>3</x:v>
      </x:c>
      <x:c r="E270" s="61" t="n">
        <x:v>3.1</x:v>
      </x:c>
    </x:row>
    <x:row r="271">
      <x:c r="A271" s="70" t="str">
        <x:v>US-31</x:v>
      </x:c>
      <x:c r="B271" s="70" t="str">
        <x:v>Nebraska</x:v>
      </x:c>
      <x:c r="C271" s="70" t="n">
        <x:v>2020</x:v>
      </x:c>
      <x:c r="D271" s="61" t="n">
        <x:v>3.87</x:v>
      </x:c>
      <x:c r="E271" s="61" t="n">
        <x:v>3.98</x:v>
      </x:c>
    </x:row>
    <x:row r="272">
      <x:c r="A272" s="70" t="str">
        <x:v>US-31</x:v>
      </x:c>
      <x:c r="B272" s="70" t="str">
        <x:v>Nebraska</x:v>
      </x:c>
      <x:c r="C272" s="70" t="n">
        <x:v>2021</x:v>
      </x:c>
      <x:c r="D272" s="61" t="n">
        <x:v>3.56</x:v>
      </x:c>
      <x:c r="E272" s="61" t="n">
        <x:v>3.59</x:v>
      </x:c>
    </x:row>
    <x:row r="273">
      <x:c r="A273" s="70" t="str">
        <x:v>US-31</x:v>
      </x:c>
      <x:c r="B273" s="70" t="str">
        <x:v>Nebraska</x:v>
      </x:c>
      <x:c r="C273" s="70" t="n">
        <x:v>2022</x:v>
      </x:c>
      <x:c r="D273" s="61" t="n">
        <x:v>3.7</x:v>
      </x:c>
      <x:c r="E273" s="61" t="n">
        <x:v>3.75</x:v>
      </x:c>
    </x:row>
    <x:row r="274">
      <x:c r="A274" s="70" t="str">
        <x:v>US-31</x:v>
      </x:c>
      <x:c r="B274" s="70" t="str">
        <x:v>Nebraska</x:v>
      </x:c>
      <x:c r="C274" s="70" t="n">
        <x:v>2023</x:v>
      </x:c>
      <x:c r="D274" s="61" t="n">
        <x:v>3.22</x:v>
      </x:c>
      <x:c r="E274" s="61" t="n">
        <x:v>3.3</x:v>
      </x:c>
    </x:row>
    <x:row r="275">
      <x:c r="A275" s="70" t="str">
        <x:v>US-31</x:v>
      </x:c>
      <x:c r="B275" s="70" t="str">
        <x:v>Nebraska</x:v>
      </x:c>
      <x:c r="C275" s="70" t="n">
        <x:v>2024</x:v>
      </x:c>
      <x:c r="D275" s="61" t="n">
        <x:v>2.94</x:v>
      </x:c>
      <x:c r="E275" s="61" t="n">
        <x:v>3.08</x:v>
      </x:c>
    </x:row>
    <x:row r="276">
      <x:c r="A276" s="70" t="str">
        <x:v>US-32</x:v>
      </x:c>
      <x:c r="B276" s="70" t="str">
        <x:v>Nevada</x:v>
      </x:c>
      <x:c r="C276" s="70" t="n">
        <x:v>2015</x:v>
      </x:c>
      <x:c r="D276" s="61" t="n">
        <x:v>6.66</x:v>
      </x:c>
      <x:c r="E276" s="61" t="n">
        <x:v>6.75</x:v>
      </x:c>
    </x:row>
    <x:row r="277">
      <x:c r="A277" s="70" t="str">
        <x:v>US-32</x:v>
      </x:c>
      <x:c r="B277" s="70" t="str">
        <x:v>Nevada</x:v>
      </x:c>
      <x:c r="C277" s="70" t="n">
        <x:v>2016</x:v>
      </x:c>
      <x:c r="D277" s="61" t="n">
        <x:v>7.23</x:v>
      </x:c>
      <x:c r="E277" s="61" t="n">
        <x:v>7.43</x:v>
      </x:c>
    </x:row>
    <x:row r="278">
      <x:c r="A278" s="70" t="str">
        <x:v>US-32</x:v>
      </x:c>
      <x:c r="B278" s="70" t="str">
        <x:v>Nevada</x:v>
      </x:c>
      <x:c r="C278" s="70" t="n">
        <x:v>2017</x:v>
      </x:c>
      <x:c r="D278" s="61" t="n">
        <x:v>7.44</x:v>
      </x:c>
      <x:c r="E278" s="61" t="n">
        <x:v>7.65</x:v>
      </x:c>
    </x:row>
    <x:row r="279">
      <x:c r="A279" s="70" t="str">
        <x:v>US-32</x:v>
      </x:c>
      <x:c r="B279" s="70" t="str">
        <x:v>Nevada</x:v>
      </x:c>
      <x:c r="C279" s="70" t="n">
        <x:v>2018</x:v>
      </x:c>
      <x:c r="D279" s="61" t="n">
        <x:v>7.42</x:v>
      </x:c>
      <x:c r="E279" s="61" t="n">
        <x:v>7.67</x:v>
      </x:c>
    </x:row>
    <x:row r="280">
      <x:c r="A280" s="70" t="str">
        <x:v>US-32</x:v>
      </x:c>
      <x:c r="B280" s="70" t="str">
        <x:v>Nevada</x:v>
      </x:c>
      <x:c r="C280" s="70" t="n">
        <x:v>2019</x:v>
      </x:c>
      <x:c r="D280" s="61" t="n">
        <x:v>5.37</x:v>
      </x:c>
      <x:c r="E280" s="61" t="n">
        <x:v>5.5</x:v>
      </x:c>
    </x:row>
    <x:row r="281">
      <x:c r="A281" s="70" t="str">
        <x:v>US-32</x:v>
      </x:c>
      <x:c r="B281" s="70" t="str">
        <x:v>Nevada</x:v>
      </x:c>
      <x:c r="C281" s="70" t="n">
        <x:v>2020</x:v>
      </x:c>
      <x:c r="D281" s="61" t="n">
        <x:v>6.96</x:v>
      </x:c>
      <x:c r="E281" s="61" t="n">
        <x:v>7.35</x:v>
      </x:c>
    </x:row>
    <x:row r="282">
      <x:c r="A282" s="70" t="str">
        <x:v>US-32</x:v>
      </x:c>
      <x:c r="B282" s="70" t="str">
        <x:v>Nevada</x:v>
      </x:c>
      <x:c r="C282" s="70" t="n">
        <x:v>2021</x:v>
      </x:c>
      <x:c r="D282" s="61" t="n">
        <x:v>8.39</x:v>
      </x:c>
      <x:c r="E282" s="61" t="n">
        <x:v>8.47</x:v>
      </x:c>
    </x:row>
    <x:row r="283">
      <x:c r="A283" s="70" t="str">
        <x:v>US-32</x:v>
      </x:c>
      <x:c r="B283" s="70" t="str">
        <x:v>Nevada</x:v>
      </x:c>
      <x:c r="C283" s="70" t="n">
        <x:v>2022</x:v>
      </x:c>
      <x:c r="D283" s="61" t="n">
        <x:v>7.68</x:v>
      </x:c>
      <x:c r="E283" s="61" t="n">
        <x:v>7.85</x:v>
      </x:c>
    </x:row>
    <x:row r="284">
      <x:c r="A284" s="70" t="str">
        <x:v>US-32</x:v>
      </x:c>
      <x:c r="B284" s="70" t="str">
        <x:v>Nevada</x:v>
      </x:c>
      <x:c r="C284" s="70" t="n">
        <x:v>2023</x:v>
      </x:c>
      <x:c r="D284" s="61" t="n">
        <x:v>8.03</x:v>
      </x:c>
      <x:c r="E284" s="61" t="n">
        <x:v>8.21</x:v>
      </x:c>
    </x:row>
    <x:row r="285">
      <x:c r="A285" s="70" t="str">
        <x:v>US-32</x:v>
      </x:c>
      <x:c r="B285" s="70" t="str">
        <x:v>Nevada</x:v>
      </x:c>
      <x:c r="C285" s="70" t="n">
        <x:v>2024</x:v>
      </x:c>
      <x:c r="D285" s="61" t="n">
        <x:v>6.76</x:v>
      </x:c>
      <x:c r="E285" s="61" t="n">
        <x:v>7.02</x:v>
      </x:c>
    </x:row>
    <x:row r="286">
      <x:c r="A286" s="70" t="str">
        <x:v>US-33</x:v>
      </x:c>
      <x:c r="B286" s="70" t="str">
        <x:v>New Hampshire</x:v>
      </x:c>
      <x:c r="C286" s="70" t="n">
        <x:v>2015</x:v>
      </x:c>
      <x:c r="D286" s="61" t="n">
        <x:v>1.35</x:v>
      </x:c>
      <x:c r="E286" s="61" t="n">
        <x:v>1.44</x:v>
      </x:c>
    </x:row>
    <x:row r="287">
      <x:c r="A287" s="70" t="str">
        <x:v>US-33</x:v>
      </x:c>
      <x:c r="B287" s="70" t="str">
        <x:v>New Hampshire</x:v>
      </x:c>
      <x:c r="C287" s="70" t="n">
        <x:v>2016</x:v>
      </x:c>
      <x:c r="D287" s="61" t="n">
        <x:v>1.34</x:v>
      </x:c>
      <x:c r="E287" s="61" t="n">
        <x:v>1.26</x:v>
      </x:c>
    </x:row>
    <x:row r="288">
      <x:c r="A288" s="70" t="str">
        <x:v>US-33</x:v>
      </x:c>
      <x:c r="B288" s="70" t="str">
        <x:v>New Hampshire</x:v>
      </x:c>
      <x:c r="C288" s="70" t="n">
        <x:v>2017</x:v>
      </x:c>
      <x:c r="D288" s="61" t="n">
        <x:v>1.26</x:v>
      </x:c>
      <x:c r="E288" s="61" t="n">
        <x:v>1.4</x:v>
      </x:c>
    </x:row>
    <x:row r="289">
      <x:c r="A289" s="70" t="str">
        <x:v>US-33</x:v>
      </x:c>
      <x:c r="B289" s="70" t="str">
        <x:v>New Hampshire</x:v>
      </x:c>
      <x:c r="C289" s="70" t="n">
        <x:v>2018</x:v>
      </x:c>
      <x:c r="D289" s="61" t="n">
        <x:v>1.55</x:v>
      </x:c>
      <x:c r="E289" s="61" t="n">
        <x:v>1.72</x:v>
      </x:c>
    </x:row>
    <x:row r="290">
      <x:c r="A290" s="70" t="str">
        <x:v>US-33</x:v>
      </x:c>
      <x:c r="B290" s="70" t="str">
        <x:v>New Hampshire</x:v>
      </x:c>
      <x:c r="C290" s="70" t="n">
        <x:v>2019</x:v>
      </x:c>
      <x:c r="D290" s="61" t="n">
        <x:v>2.79</x:v>
      </x:c>
      <x:c r="E290" s="61" t="n">
        <x:v>2.89</x:v>
      </x:c>
    </x:row>
    <x:row r="291">
      <x:c r="A291" s="70" t="str">
        <x:v>US-33</x:v>
      </x:c>
      <x:c r="B291" s="70" t="str">
        <x:v>New Hampshire</x:v>
      </x:c>
      <x:c r="C291" s="70" t="n">
        <x:v>2020</x:v>
      </x:c>
      <x:c r="D291" s="61" t="n">
        <x:v>1.02</x:v>
      </x:c>
      <x:c r="E291" s="61" t="n">
        <x:v>1.05</x:v>
      </x:c>
    </x:row>
    <x:row r="292">
      <x:c r="A292" s="70" t="str">
        <x:v>US-33</x:v>
      </x:c>
      <x:c r="B292" s="70" t="str">
        <x:v>New Hampshire</x:v>
      </x:c>
      <x:c r="C292" s="70" t="n">
        <x:v>2021</x:v>
      </x:c>
      <x:c r="D292" s="61" t="n">
        <x:v>1.08</x:v>
      </x:c>
      <x:c r="E292" s="61" t="n">
        <x:v>1.07</x:v>
      </x:c>
    </x:row>
    <x:row r="293">
      <x:c r="A293" s="70" t="str">
        <x:v>US-33</x:v>
      </x:c>
      <x:c r="B293" s="70" t="str">
        <x:v>New Hampshire</x:v>
      </x:c>
      <x:c r="C293" s="70" t="n">
        <x:v>2022</x:v>
      </x:c>
      <x:c r="D293" s="61" t="n">
        <x:v>1.79</x:v>
      </x:c>
      <x:c r="E293" s="61" t="n">
        <x:v>1.77</x:v>
      </x:c>
    </x:row>
    <x:row r="294">
      <x:c r="A294" s="70" t="str">
        <x:v>US-33</x:v>
      </x:c>
      <x:c r="B294" s="70" t="str">
        <x:v>New Hampshire</x:v>
      </x:c>
      <x:c r="C294" s="70" t="n">
        <x:v>2023</x:v>
      </x:c>
      <x:c r="D294" s="61" t="n">
        <x:v>2.07</x:v>
      </x:c>
      <x:c r="E294" s="61" t="n">
        <x:v>1.94</x:v>
      </x:c>
    </x:row>
    <x:row r="295">
      <x:c r="A295" s="70" t="str">
        <x:v>US-33</x:v>
      </x:c>
      <x:c r="B295" s="70" t="str">
        <x:v>New Hampshire</x:v>
      </x:c>
      <x:c r="C295" s="70" t="n">
        <x:v>2024</x:v>
      </x:c>
      <x:c r="D295" s="61" t="n">
        <x:v>1.28</x:v>
      </x:c>
      <x:c r="E295" s="61" t="n">
        <x:v>1.45</x:v>
      </x:c>
    </x:row>
    <x:row r="296">
      <x:c r="A296" s="70" t="str">
        <x:v>US-34</x:v>
      </x:c>
      <x:c r="B296" s="70" t="str">
        <x:v>New Jersey</x:v>
      </x:c>
      <x:c r="C296" s="70" t="n">
        <x:v>2015</x:v>
      </x:c>
      <x:c r="D296" s="61" t="n">
        <x:v>4.37</x:v>
      </x:c>
      <x:c r="E296" s="61" t="n">
        <x:v>4.57</x:v>
      </x:c>
    </x:row>
    <x:row r="297">
      <x:c r="A297" s="70" t="str">
        <x:v>US-34</x:v>
      </x:c>
      <x:c r="B297" s="70" t="str">
        <x:v>New Jersey</x:v>
      </x:c>
      <x:c r="C297" s="70" t="n">
        <x:v>2016</x:v>
      </x:c>
      <x:c r="D297" s="61" t="n">
        <x:v>4.45</x:v>
      </x:c>
      <x:c r="E297" s="61" t="n">
        <x:v>4.67</x:v>
      </x:c>
    </x:row>
    <x:row r="298">
      <x:c r="A298" s="70" t="str">
        <x:v>US-34</x:v>
      </x:c>
      <x:c r="B298" s="70" t="str">
        <x:v>New Jersey</x:v>
      </x:c>
      <x:c r="C298" s="70" t="n">
        <x:v>2017</x:v>
      </x:c>
      <x:c r="D298" s="61" t="n">
        <x:v>3.96</x:v>
      </x:c>
      <x:c r="E298" s="61" t="n">
        <x:v>4.15</x:v>
      </x:c>
    </x:row>
    <x:row r="299">
      <x:c r="A299" s="70" t="str">
        <x:v>US-34</x:v>
      </x:c>
      <x:c r="B299" s="70" t="str">
        <x:v>New Jersey</x:v>
      </x:c>
      <x:c r="C299" s="70" t="n">
        <x:v>2018</x:v>
      </x:c>
      <x:c r="D299" s="61" t="n">
        <x:v>3.5</x:v>
      </x:c>
      <x:c r="E299" s="61" t="n">
        <x:v>3.68</x:v>
      </x:c>
    </x:row>
    <x:row r="300">
      <x:c r="A300" s="70" t="str">
        <x:v>US-34</x:v>
      </x:c>
      <x:c r="B300" s="70" t="str">
        <x:v>New Jersey</x:v>
      </x:c>
      <x:c r="C300" s="70" t="n">
        <x:v>2019</x:v>
      </x:c>
      <x:c r="D300" s="61" t="n">
        <x:v>3.23</x:v>
      </x:c>
      <x:c r="E300" s="61" t="n">
        <x:v>3.45</x:v>
      </x:c>
    </x:row>
    <x:row r="301">
      <x:c r="A301" s="70" t="str">
        <x:v>US-34</x:v>
      </x:c>
      <x:c r="B301" s="70" t="str">
        <x:v>New Jersey</x:v>
      </x:c>
      <x:c r="C301" s="70" t="n">
        <x:v>2020</x:v>
      </x:c>
      <x:c r="D301" s="61" t="n">
        <x:v>3.9</x:v>
      </x:c>
      <x:c r="E301" s="61" t="n">
        <x:v>4.14</x:v>
      </x:c>
    </x:row>
    <x:row r="302">
      <x:c r="A302" s="70" t="str">
        <x:v>US-34</x:v>
      </x:c>
      <x:c r="B302" s="70" t="str">
        <x:v>New Jersey</x:v>
      </x:c>
      <x:c r="C302" s="70" t="n">
        <x:v>2021</x:v>
      </x:c>
      <x:c r="D302" s="61" t="n">
        <x:v>4.41</x:v>
      </x:c>
      <x:c r="E302" s="61" t="n">
        <x:v>4.76</x:v>
      </x:c>
    </x:row>
    <x:row r="303">
      <x:c r="A303" s="70" t="str">
        <x:v>US-34</x:v>
      </x:c>
      <x:c r="B303" s="70" t="str">
        <x:v>New Jersey</x:v>
      </x:c>
      <x:c r="C303" s="70" t="n">
        <x:v>2022</x:v>
      </x:c>
      <x:c r="D303" s="61" t="n">
        <x:v>3.57</x:v>
      </x:c>
      <x:c r="E303" s="61" t="n">
        <x:v>3.81</x:v>
      </x:c>
    </x:row>
    <x:row r="304">
      <x:c r="A304" s="70" t="str">
        <x:v>US-34</x:v>
      </x:c>
      <x:c r="B304" s="70" t="str">
        <x:v>New Jersey</x:v>
      </x:c>
      <x:c r="C304" s="70" t="n">
        <x:v>2023</x:v>
      </x:c>
      <x:c r="D304" s="61" t="n">
        <x:v>3.12</x:v>
      </x:c>
      <x:c r="E304" s="61" t="n">
        <x:v>3.33</x:v>
      </x:c>
    </x:row>
    <x:row r="305">
      <x:c r="A305" s="70" t="str">
        <x:v>US-34</x:v>
      </x:c>
      <x:c r="B305" s="70" t="str">
        <x:v>New Jersey</x:v>
      </x:c>
      <x:c r="C305" s="70" t="n">
        <x:v>2024</x:v>
      </x:c>
      <x:c r="D305" s="61" t="n">
        <x:v>2.78</x:v>
      </x:c>
      <x:c r="E305" s="61" t="n">
        <x:v>2.93</x:v>
      </x:c>
    </x:row>
    <x:row r="306">
      <x:c r="A306" s="70" t="str">
        <x:v>US-35</x:v>
      </x:c>
      <x:c r="B306" s="70" t="str">
        <x:v>New Mexico</x:v>
      </x:c>
      <x:c r="C306" s="70" t="n">
        <x:v>2015</x:v>
      </x:c>
      <x:c r="D306" s="61" t="n">
        <x:v>7.51</x:v>
      </x:c>
      <x:c r="E306" s="61" t="n">
        <x:v>7.91</x:v>
      </x:c>
    </x:row>
    <x:row r="307">
      <x:c r="A307" s="70" t="str">
        <x:v>US-35</x:v>
      </x:c>
      <x:c r="B307" s="70" t="str">
        <x:v>New Mexico</x:v>
      </x:c>
      <x:c r="C307" s="70" t="n">
        <x:v>2016</x:v>
      </x:c>
      <x:c r="D307" s="61" t="n">
        <x:v>8.84</x:v>
      </x:c>
      <x:c r="E307" s="61" t="n">
        <x:v>9.39</x:v>
      </x:c>
    </x:row>
    <x:row r="308">
      <x:c r="A308" s="70" t="str">
        <x:v>US-35</x:v>
      </x:c>
      <x:c r="B308" s="70" t="str">
        <x:v>New Mexico</x:v>
      </x:c>
      <x:c r="C308" s="70" t="n">
        <x:v>2017</x:v>
      </x:c>
      <x:c r="D308" s="61" t="n">
        <x:v>8.27</x:v>
      </x:c>
      <x:c r="E308" s="61" t="n">
        <x:v>8.52</x:v>
      </x:c>
    </x:row>
    <x:row r="309">
      <x:c r="A309" s="70" t="str">
        <x:v>US-35</x:v>
      </x:c>
      <x:c r="B309" s="70" t="str">
        <x:v>New Mexico</x:v>
      </x:c>
      <x:c r="C309" s="70" t="n">
        <x:v>2018</x:v>
      </x:c>
      <x:c r="D309" s="61" t="n">
        <x:v>10.27</x:v>
      </x:c>
      <x:c r="E309" s="61" t="n">
        <x:v>10.79</x:v>
      </x:c>
    </x:row>
    <x:row r="310">
      <x:c r="A310" s="70" t="str">
        <x:v>US-35</x:v>
      </x:c>
      <x:c r="B310" s="70" t="str">
        <x:v>New Mexico</x:v>
      </x:c>
      <x:c r="C310" s="70" t="n">
        <x:v>2019</x:v>
      </x:c>
      <x:c r="D310" s="61" t="n">
        <x:v>10.95</x:v>
      </x:c>
      <x:c r="E310" s="61" t="n">
        <x:v>11.75</x:v>
      </x:c>
    </x:row>
    <x:row r="311">
      <x:c r="A311" s="70" t="str">
        <x:v>US-35</x:v>
      </x:c>
      <x:c r="B311" s="70" t="str">
        <x:v>New Mexico</x:v>
      </x:c>
      <x:c r="C311" s="70" t="n">
        <x:v>2020</x:v>
      </x:c>
      <x:c r="D311" s="61" t="n">
        <x:v>10.2</x:v>
      </x:c>
      <x:c r="E311" s="61" t="n">
        <x:v>10.7</x:v>
      </x:c>
    </x:row>
    <x:row r="312">
      <x:c r="A312" s="70" t="str">
        <x:v>US-35</x:v>
      </x:c>
      <x:c r="B312" s="70" t="str">
        <x:v>New Mexico</x:v>
      </x:c>
      <x:c r="C312" s="70" t="n">
        <x:v>2021</x:v>
      </x:c>
      <x:c r="D312" s="61" t="n">
        <x:v>14.45</x:v>
      </x:c>
      <x:c r="E312" s="61" t="n">
        <x:v>15.3</x:v>
      </x:c>
    </x:row>
    <x:row r="313">
      <x:c r="A313" s="70" t="str">
        <x:v>US-35</x:v>
      </x:c>
      <x:c r="B313" s="70" t="str">
        <x:v>New Mexico</x:v>
      </x:c>
      <x:c r="C313" s="70" t="n">
        <x:v>2022</x:v>
      </x:c>
      <x:c r="D313" s="61" t="n">
        <x:v>13.72</x:v>
      </x:c>
      <x:c r="E313" s="61" t="n">
        <x:v>14.6</x:v>
      </x:c>
    </x:row>
    <x:row r="314">
      <x:c r="A314" s="70" t="str">
        <x:v>US-35</x:v>
      </x:c>
      <x:c r="B314" s="70" t="str">
        <x:v>New Mexico</x:v>
      </x:c>
      <x:c r="C314" s="70" t="n">
        <x:v>2023</x:v>
      </x:c>
      <x:c r="D314" s="61" t="n">
        <x:v>13.67</x:v>
      </x:c>
      <x:c r="E314" s="61" t="n">
        <x:v>14.75</x:v>
      </x:c>
    </x:row>
    <x:row r="315">
      <x:c r="A315" s="70" t="str">
        <x:v>US-35</x:v>
      </x:c>
      <x:c r="B315" s="70" t="str">
        <x:v>New Mexico</x:v>
      </x:c>
      <x:c r="C315" s="70" t="n">
        <x:v>2024</x:v>
      </x:c>
      <x:c r="D315" s="61" t="n">
        <x:v>12.58</x:v>
      </x:c>
      <x:c r="E315" s="61" t="n">
        <x:v>13.16</x:v>
      </x:c>
    </x:row>
    <x:row r="316">
      <x:c r="A316" s="70" t="str">
        <x:v>US-36</x:v>
      </x:c>
      <x:c r="B316" s="70" t="str">
        <x:v>New York</x:v>
      </x:c>
      <x:c r="C316" s="70" t="n">
        <x:v>2015</x:v>
      </x:c>
      <x:c r="D316" s="61" t="n">
        <x:v>3.41</x:v>
      </x:c>
      <x:c r="E316" s="61" t="n">
        <x:v>3.41</x:v>
      </x:c>
    </x:row>
    <x:row r="317">
      <x:c r="A317" s="70" t="str">
        <x:v>US-36</x:v>
      </x:c>
      <x:c r="B317" s="70" t="str">
        <x:v>New York</x:v>
      </x:c>
      <x:c r="C317" s="70" t="n">
        <x:v>2016</x:v>
      </x:c>
      <x:c r="D317" s="61" t="n">
        <x:v>3.54</x:v>
      </x:c>
      <x:c r="E317" s="61" t="n">
        <x:v>3.59</x:v>
      </x:c>
    </x:row>
    <x:row r="318">
      <x:c r="A318" s="70" t="str">
        <x:v>US-36</x:v>
      </x:c>
      <x:c r="B318" s="70" t="str">
        <x:v>New York</x:v>
      </x:c>
      <x:c r="C318" s="70" t="n">
        <x:v>2017</x:v>
      </x:c>
      <x:c r="D318" s="61" t="n">
        <x:v>2.95</x:v>
      </x:c>
      <x:c r="E318" s="61" t="n">
        <x:v>2.97</x:v>
      </x:c>
    </x:row>
    <x:row r="319">
      <x:c r="A319" s="70" t="str">
        <x:v>US-36</x:v>
      </x:c>
      <x:c r="B319" s="70" t="str">
        <x:v>New York</x:v>
      </x:c>
      <x:c r="C319" s="70" t="n">
        <x:v>2018</x:v>
      </x:c>
      <x:c r="D319" s="61" t="n">
        <x:v>3.13</x:v>
      </x:c>
      <x:c r="E319" s="61" t="n">
        <x:v>3.17</x:v>
      </x:c>
    </x:row>
    <x:row r="320">
      <x:c r="A320" s="70" t="str">
        <x:v>US-36</x:v>
      </x:c>
      <x:c r="B320" s="70" t="str">
        <x:v>New York</x:v>
      </x:c>
      <x:c r="C320" s="70" t="n">
        <x:v>2019</x:v>
      </x:c>
      <x:c r="D320" s="61" t="n">
        <x:v>3.09</x:v>
      </x:c>
      <x:c r="E320" s="61" t="n">
        <x:v>3.15</x:v>
      </x:c>
    </x:row>
    <x:row r="321">
      <x:c r="A321" s="70" t="str">
        <x:v>US-36</x:v>
      </x:c>
      <x:c r="B321" s="70" t="str">
        <x:v>New York</x:v>
      </x:c>
      <x:c r="C321" s="70" t="n">
        <x:v>2020</x:v>
      </x:c>
      <x:c r="D321" s="61" t="n">
        <x:v>4.35</x:v>
      </x:c>
      <x:c r="E321" s="61" t="n">
        <x:v>4.45</x:v>
      </x:c>
    </x:row>
    <x:row r="322">
      <x:c r="A322" s="70" t="str">
        <x:v>US-36</x:v>
      </x:c>
      <x:c r="B322" s="70" t="str">
        <x:v>New York</x:v>
      </x:c>
      <x:c r="C322" s="70" t="n">
        <x:v>2021</x:v>
      </x:c>
      <x:c r="D322" s="61" t="n">
        <x:v>4.63</x:v>
      </x:c>
      <x:c r="E322" s="61" t="n">
        <x:v>4.81</x:v>
      </x:c>
    </x:row>
    <x:row r="323">
      <x:c r="A323" s="70" t="str">
        <x:v>US-36</x:v>
      </x:c>
      <x:c r="B323" s="70" t="str">
        <x:v>New York</x:v>
      </x:c>
      <x:c r="C323" s="70" t="n">
        <x:v>2022</x:v>
      </x:c>
      <x:c r="D323" s="61" t="n">
        <x:v>4.33</x:v>
      </x:c>
      <x:c r="E323" s="61" t="n">
        <x:v>4.48</x:v>
      </x:c>
    </x:row>
    <x:row r="324">
      <x:c r="A324" s="70" t="str">
        <x:v>US-36</x:v>
      </x:c>
      <x:c r="B324" s="70" t="str">
        <x:v>New York</x:v>
      </x:c>
      <x:c r="C324" s="70" t="n">
        <x:v>2023</x:v>
      </x:c>
      <x:c r="D324" s="61" t="n">
        <x:v>3.78</x:v>
      </x:c>
      <x:c r="E324" s="61" t="n">
        <x:v>3.92</x:v>
      </x:c>
    </x:row>
    <x:row r="325">
      <x:c r="A325" s="70" t="str">
        <x:v>US-36</x:v>
      </x:c>
      <x:c r="B325" s="70" t="str">
        <x:v>New York</x:v>
      </x:c>
      <x:c r="C325" s="70" t="n">
        <x:v>2024</x:v>
      </x:c>
      <x:c r="D325" s="61" t="n">
        <x:v>3.49</x:v>
      </x:c>
      <x:c r="E325" s="61" t="n">
        <x:v>3.54</x:v>
      </x:c>
    </x:row>
    <x:row r="326">
      <x:c r="A326" s="70" t="str">
        <x:v>US-37</x:v>
      </x:c>
      <x:c r="B326" s="70" t="str">
        <x:v>North Carolina</x:v>
      </x:c>
      <x:c r="C326" s="70" t="n">
        <x:v>2015</x:v>
      </x:c>
      <x:c r="D326" s="61" t="n">
        <x:v>5.91</x:v>
      </x:c>
      <x:c r="E326" s="61" t="n">
        <x:v>6.1</x:v>
      </x:c>
    </x:row>
    <x:row r="327">
      <x:c r="A327" s="70" t="str">
        <x:v>US-37</x:v>
      </x:c>
      <x:c r="B327" s="70" t="str">
        <x:v>North Carolina</x:v>
      </x:c>
      <x:c r="C327" s="70" t="n">
        <x:v>2016</x:v>
      </x:c>
      <x:c r="D327" s="61" t="n">
        <x:v>7.23</x:v>
      </x:c>
      <x:c r="E327" s="61" t="n">
        <x:v>7.36</x:v>
      </x:c>
    </x:row>
    <x:row r="328">
      <x:c r="A328" s="70" t="str">
        <x:v>US-37</x:v>
      </x:c>
      <x:c r="B328" s="70" t="str">
        <x:v>North Carolina</x:v>
      </x:c>
      <x:c r="C328" s="70" t="n">
        <x:v>2017</x:v>
      </x:c>
      <x:c r="D328" s="61" t="n">
        <x:v>6.61</x:v>
      </x:c>
      <x:c r="E328" s="61" t="n">
        <x:v>6.81</x:v>
      </x:c>
    </x:row>
    <x:row r="329">
      <x:c r="A329" s="70" t="str">
        <x:v>US-37</x:v>
      </x:c>
      <x:c r="B329" s="70" t="str">
        <x:v>North Carolina</x:v>
      </x:c>
      <x:c r="C329" s="70" t="n">
        <x:v>2018</x:v>
      </x:c>
      <x:c r="D329" s="61" t="n">
        <x:v>6.23</x:v>
      </x:c>
      <x:c r="E329" s="61" t="n">
        <x:v>6.37</x:v>
      </x:c>
    </x:row>
    <x:row r="330">
      <x:c r="A330" s="70" t="str">
        <x:v>US-37</x:v>
      </x:c>
      <x:c r="B330" s="70" t="str">
        <x:v>North Carolina</x:v>
      </x:c>
      <x:c r="C330" s="70" t="n">
        <x:v>2019</x:v>
      </x:c>
      <x:c r="D330" s="61" t="n">
        <x:v>6.73</x:v>
      </x:c>
      <x:c r="E330" s="61" t="n">
        <x:v>6.96</x:v>
      </x:c>
    </x:row>
    <x:row r="331">
      <x:c r="A331" s="70" t="str">
        <x:v>US-37</x:v>
      </x:c>
      <x:c r="B331" s="70" t="str">
        <x:v>North Carolina</x:v>
      </x:c>
      <x:c r="C331" s="70" t="n">
        <x:v>2020</x:v>
      </x:c>
      <x:c r="D331" s="61" t="n">
        <x:v>8.46</x:v>
      </x:c>
      <x:c r="E331" s="61" t="n">
        <x:v>8.72</x:v>
      </x:c>
    </x:row>
    <x:row r="332">
      <x:c r="A332" s="70" t="str">
        <x:v>US-37</x:v>
      </x:c>
      <x:c r="B332" s="70" t="str">
        <x:v>North Carolina</x:v>
      </x:c>
      <x:c r="C332" s="70" t="n">
        <x:v>2021</x:v>
      </x:c>
      <x:c r="D332" s="61" t="n">
        <x:v>9.38</x:v>
      </x:c>
      <x:c r="E332" s="61" t="n">
        <x:v>9.67</x:v>
      </x:c>
    </x:row>
    <x:row r="333">
      <x:c r="A333" s="70" t="str">
        <x:v>US-37</x:v>
      </x:c>
      <x:c r="B333" s="70" t="str">
        <x:v>North Carolina</x:v>
      </x:c>
      <x:c r="C333" s="70" t="n">
        <x:v>2022</x:v>
      </x:c>
      <x:c r="D333" s="61" t="n">
        <x:v>8.91</x:v>
      </x:c>
      <x:c r="E333" s="61" t="n">
        <x:v>9.23</x:v>
      </x:c>
    </x:row>
    <x:row r="334">
      <x:c r="A334" s="70" t="str">
        <x:v>US-37</x:v>
      </x:c>
      <x:c r="B334" s="70" t="str">
        <x:v>North Carolina</x:v>
      </x:c>
      <x:c r="C334" s="70" t="n">
        <x:v>2023</x:v>
      </x:c>
      <x:c r="D334" s="61" t="n">
        <x:v>8.15</x:v>
      </x:c>
      <x:c r="E334" s="61" t="n">
        <x:v>8.47</x:v>
      </x:c>
    </x:row>
    <x:row r="335">
      <x:c r="A335" s="70" t="str">
        <x:v>US-37</x:v>
      </x:c>
      <x:c r="B335" s="70" t="str">
        <x:v>North Carolina</x:v>
      </x:c>
      <x:c r="C335" s="70" t="n">
        <x:v>2024</x:v>
      </x:c>
      <x:c r="D335" s="61" t="n">
        <x:v>7.55</x:v>
      </x:c>
      <x:c r="E335" s="61" t="n">
        <x:v>7.82</x:v>
      </x:c>
    </x:row>
    <x:row r="336">
      <x:c r="A336" s="70" t="str">
        <x:v>US-38</x:v>
      </x:c>
      <x:c r="B336" s="70" t="str">
        <x:v>North Dakota</x:v>
      </x:c>
      <x:c r="C336" s="70" t="n">
        <x:v>2015</x:v>
      </x:c>
      <x:c r="D336" s="61" t="n">
        <x:v>2.91</x:v>
      </x:c>
      <x:c r="E336" s="61" t="n">
        <x:v>3.17</x:v>
      </x:c>
    </x:row>
    <x:row r="337">
      <x:c r="A337" s="70" t="str">
        <x:v>US-38</x:v>
      </x:c>
      <x:c r="B337" s="70" t="str">
        <x:v>North Dakota</x:v>
      </x:c>
      <x:c r="C337" s="70" t="n">
        <x:v>2016</x:v>
      </x:c>
      <x:c r="D337" s="61" t="n">
        <x:v>2.25</x:v>
      </x:c>
      <x:c r="E337" s="61" t="n">
        <x:v>2.24</x:v>
      </x:c>
    </x:row>
    <x:row r="338">
      <x:c r="A338" s="70" t="str">
        <x:v>US-38</x:v>
      </x:c>
      <x:c r="B338" s="70" t="str">
        <x:v>North Dakota</x:v>
      </x:c>
      <x:c r="C338" s="70" t="n">
        <x:v>2017</x:v>
      </x:c>
      <x:c r="D338" s="61" t="n">
        <x:v>1.98</x:v>
      </x:c>
      <x:c r="E338" s="61" t="n">
        <x:v>2.03</x:v>
      </x:c>
    </x:row>
    <x:row r="339">
      <x:c r="A339" s="70" t="str">
        <x:v>US-38</x:v>
      </x:c>
      <x:c r="B339" s="70" t="str">
        <x:v>North Dakota</x:v>
      </x:c>
      <x:c r="C339" s="70" t="n">
        <x:v>2018</x:v>
      </x:c>
      <x:c r="D339" s="61" t="n">
        <x:v>2.63</x:v>
      </x:c>
      <x:c r="E339" s="61" t="n">
        <x:v>2.53</x:v>
      </x:c>
    </x:row>
    <x:row r="340">
      <x:c r="A340" s="70" t="str">
        <x:v>US-38</x:v>
      </x:c>
      <x:c r="B340" s="70" t="str">
        <x:v>North Dakota</x:v>
      </x:c>
      <x:c r="C340" s="70" t="n">
        <x:v>2019</x:v>
      </x:c>
      <x:c r="D340" s="61" t="n">
        <x:v>2.75</x:v>
      </x:c>
      <x:c r="E340" s="61" t="n">
        <x:v>3.06</x:v>
      </x:c>
    </x:row>
    <x:row r="341">
      <x:c r="A341" s="70" t="str">
        <x:v>US-38</x:v>
      </x:c>
      <x:c r="B341" s="70" t="str">
        <x:v>North Dakota</x:v>
      </x:c>
      <x:c r="C341" s="70" t="n">
        <x:v>2020</x:v>
      </x:c>
      <x:c r="D341" s="61" t="n">
        <x:v>3.85</x:v>
      </x:c>
      <x:c r="E341" s="61" t="n">
        <x:v>4.25</x:v>
      </x:c>
    </x:row>
    <x:row r="342">
      <x:c r="A342" s="70" t="str">
        <x:v>US-38</x:v>
      </x:c>
      <x:c r="B342" s="70" t="str">
        <x:v>North Dakota</x:v>
      </x:c>
      <x:c r="C342" s="70" t="n">
        <x:v>2021</x:v>
      </x:c>
      <x:c r="D342" s="61" t="n">
        <x:v>3.09</x:v>
      </x:c>
      <x:c r="E342" s="61" t="n">
        <x:v>3.4</x:v>
      </x:c>
    </x:row>
    <x:row r="343">
      <x:c r="A343" s="70" t="str">
        <x:v>US-38</x:v>
      </x:c>
      <x:c r="B343" s="70" t="str">
        <x:v>North Dakota</x:v>
      </x:c>
      <x:c r="C343" s="70" t="n">
        <x:v>2022</x:v>
      </x:c>
      <x:c r="D343" s="61" t="n">
        <x:v>3.59</x:v>
      </x:c>
      <x:c r="E343" s="61" t="n">
        <x:v>3.48</x:v>
      </x:c>
    </x:row>
    <x:row r="344">
      <x:c r="A344" s="70" t="str">
        <x:v>US-38</x:v>
      </x:c>
      <x:c r="B344" s="70" t="str">
        <x:v>North Dakota</x:v>
      </x:c>
      <x:c r="C344" s="70" t="n">
        <x:v>2023</x:v>
      </x:c>
      <x:c r="D344" s="61" t="n">
        <x:v>3.04</x:v>
      </x:c>
      <x:c r="E344" s="61" t="n">
        <x:v>3.17</x:v>
      </x:c>
    </x:row>
    <x:row r="345">
      <x:c r="A345" s="70" t="str">
        <x:v>US-38</x:v>
      </x:c>
      <x:c r="B345" s="70" t="str">
        <x:v>North Dakota</x:v>
      </x:c>
      <x:c r="C345" s="70" t="n">
        <x:v>2024</x:v>
      </x:c>
      <x:c r="D345" s="61" t="n">
        <x:v>2.51</x:v>
      </x:c>
      <x:c r="E345" s="61" t="n">
        <x:v>2.51</x:v>
      </x:c>
    </x:row>
    <x:row r="346">
      <x:c r="A346" s="70" t="str">
        <x:v>US-39</x:v>
      </x:c>
      <x:c r="B346" s="70" t="str">
        <x:v>Ohio</x:v>
      </x:c>
      <x:c r="C346" s="70" t="n">
        <x:v>2015</x:v>
      </x:c>
      <x:c r="D346" s="61" t="n">
        <x:v>5.76</x:v>
      </x:c>
      <x:c r="E346" s="61" t="n">
        <x:v>5.99</x:v>
      </x:c>
    </x:row>
    <x:row r="347">
      <x:c r="A347" s="70" t="str">
        <x:v>US-39</x:v>
      </x:c>
      <x:c r="B347" s="70" t="str">
        <x:v>Ohio</x:v>
      </x:c>
      <x:c r="C347" s="70" t="n">
        <x:v>2016</x:v>
      </x:c>
      <x:c r="D347" s="61" t="n">
        <x:v>6.19</x:v>
      </x:c>
      <x:c r="E347" s="61" t="n">
        <x:v>6.49</x:v>
      </x:c>
    </x:row>
    <x:row r="348">
      <x:c r="A348" s="70" t="str">
        <x:v>US-39</x:v>
      </x:c>
      <x:c r="B348" s="70" t="str">
        <x:v>Ohio</x:v>
      </x:c>
      <x:c r="C348" s="70" t="n">
        <x:v>2017</x:v>
      </x:c>
      <x:c r="D348" s="61" t="n">
        <x:v>7.1</x:v>
      </x:c>
      <x:c r="E348" s="61" t="n">
        <x:v>7.51</x:v>
      </x:c>
    </x:row>
    <x:row r="349">
      <x:c r="A349" s="70" t="str">
        <x:v>US-39</x:v>
      </x:c>
      <x:c r="B349" s="70" t="str">
        <x:v>Ohio</x:v>
      </x:c>
      <x:c r="C349" s="70" t="n">
        <x:v>2018</x:v>
      </x:c>
      <x:c r="D349" s="61" t="n">
        <x:v>6.51</x:v>
      </x:c>
      <x:c r="E349" s="61" t="n">
        <x:v>6.83</x:v>
      </x:c>
    </x:row>
    <x:row r="350">
      <x:c r="A350" s="70" t="str">
        <x:v>US-39</x:v>
      </x:c>
      <x:c r="B350" s="70" t="str">
        <x:v>Ohio</x:v>
      </x:c>
      <x:c r="C350" s="70" t="n">
        <x:v>2019</x:v>
      </x:c>
      <x:c r="D350" s="61" t="n">
        <x:v>6.19</x:v>
      </x:c>
      <x:c r="E350" s="61" t="n">
        <x:v>6.56</x:v>
      </x:c>
    </x:row>
    <x:row r="351">
      <x:c r="A351" s="70" t="str">
        <x:v>US-39</x:v>
      </x:c>
      <x:c r="B351" s="70" t="str">
        <x:v>Ohio</x:v>
      </x:c>
      <x:c r="C351" s="70" t="n">
        <x:v>2020</x:v>
      </x:c>
      <x:c r="D351" s="61" t="n">
        <x:v>8.51</x:v>
      </x:c>
      <x:c r="E351" s="61" t="n">
        <x:v>9.03</x:v>
      </x:c>
    </x:row>
    <x:row r="352">
      <x:c r="A352" s="70" t="str">
        <x:v>US-39</x:v>
      </x:c>
      <x:c r="B352" s="70" t="str">
        <x:v>Ohio</x:v>
      </x:c>
      <x:c r="C352" s="70" t="n">
        <x:v>2021</x:v>
      </x:c>
      <x:c r="D352" s="61" t="n">
        <x:v>8.67</x:v>
      </x:c>
      <x:c r="E352" s="61" t="n">
        <x:v>9.34</x:v>
      </x:c>
    </x:row>
    <x:row r="353">
      <x:c r="A353" s="70" t="str">
        <x:v>US-39</x:v>
      </x:c>
      <x:c r="B353" s="70" t="str">
        <x:v>Ohio</x:v>
      </x:c>
      <x:c r="C353" s="70" t="n">
        <x:v>2022</x:v>
      </x:c>
      <x:c r="D353" s="61" t="n">
        <x:v>7.89</x:v>
      </x:c>
      <x:c r="E353" s="61" t="n">
        <x:v>8.49</x:v>
      </x:c>
    </x:row>
    <x:row r="354">
      <x:c r="A354" s="70" t="str">
        <x:v>US-39</x:v>
      </x:c>
      <x:c r="B354" s="70" t="str">
        <x:v>Ohio</x:v>
      </x:c>
      <x:c r="C354" s="70" t="n">
        <x:v>2023</x:v>
      </x:c>
      <x:c r="D354" s="61" t="n">
        <x:v>7.35</x:v>
      </x:c>
      <x:c r="E354" s="61" t="n">
        <x:v>7.88</x:v>
      </x:c>
    </x:row>
    <x:row r="355">
      <x:c r="A355" s="70" t="str">
        <x:v>US-39</x:v>
      </x:c>
      <x:c r="B355" s="70" t="str">
        <x:v>Ohio</x:v>
      </x:c>
      <x:c r="C355" s="70" t="n">
        <x:v>2024</x:v>
      </x:c>
      <x:c r="D355" s="61" t="n">
        <x:v>6.26</x:v>
      </x:c>
      <x:c r="E355" s="61" t="n">
        <x:v>6.61</x:v>
      </x:c>
    </x:row>
    <x:row r="356">
      <x:c r="A356" s="70" t="str">
        <x:v>US-40</x:v>
      </x:c>
      <x:c r="B356" s="70" t="str">
        <x:v>Oklahoma</x:v>
      </x:c>
      <x:c r="C356" s="70" t="n">
        <x:v>2015</x:v>
      </x:c>
      <x:c r="D356" s="61" t="n">
        <x:v>8.29</x:v>
      </x:c>
      <x:c r="E356" s="61" t="n">
        <x:v>8.46</x:v>
      </x:c>
    </x:row>
    <x:row r="357">
      <x:c r="A357" s="70" t="str">
        <x:v>US-40</x:v>
      </x:c>
      <x:c r="B357" s="70" t="str">
        <x:v>Oklahoma</x:v>
      </x:c>
      <x:c r="C357" s="70" t="n">
        <x:v>2016</x:v>
      </x:c>
      <x:c r="D357" s="61" t="n">
        <x:v>8.2</x:v>
      </x:c>
      <x:c r="E357" s="61" t="n">
        <x:v>8.6</x:v>
      </x:c>
    </x:row>
    <x:row r="358">
      <x:c r="A358" s="70" t="str">
        <x:v>US-40</x:v>
      </x:c>
      <x:c r="B358" s="70" t="str">
        <x:v>Oklahoma</x:v>
      </x:c>
      <x:c r="C358" s="70" t="n">
        <x:v>2017</x:v>
      </x:c>
      <x:c r="D358" s="61" t="n">
        <x:v>8.08</x:v>
      </x:c>
      <x:c r="E358" s="61" t="n">
        <x:v>8.54</x:v>
      </x:c>
    </x:row>
    <x:row r="359">
      <x:c r="A359" s="70" t="str">
        <x:v>US-40</x:v>
      </x:c>
      <x:c r="B359" s="70" t="str">
        <x:v>Oklahoma</x:v>
      </x:c>
      <x:c r="C359" s="70" t="n">
        <x:v>2018</x:v>
      </x:c>
      <x:c r="D359" s="61" t="n">
        <x:v>6.72</x:v>
      </x:c>
      <x:c r="E359" s="61" t="n">
        <x:v>6.98</x:v>
      </x:c>
    </x:row>
    <x:row r="360">
      <x:c r="A360" s="70" t="str">
        <x:v>US-40</x:v>
      </x:c>
      <x:c r="B360" s="70" t="str">
        <x:v>Oklahoma</x:v>
      </x:c>
      <x:c r="C360" s="70" t="n">
        <x:v>2019</x:v>
      </x:c>
      <x:c r="D360" s="61" t="n">
        <x:v>8.41</x:v>
      </x:c>
      <x:c r="E360" s="61" t="n">
        <x:v>8.75</x:v>
      </x:c>
    </x:row>
    <x:row r="361">
      <x:c r="A361" s="70" t="str">
        <x:v>US-40</x:v>
      </x:c>
      <x:c r="B361" s="70" t="str">
        <x:v>Oklahoma</x:v>
      </x:c>
      <x:c r="C361" s="70" t="n">
        <x:v>2020</x:v>
      </x:c>
      <x:c r="D361" s="61" t="n">
        <x:v>8.63</x:v>
      </x:c>
      <x:c r="E361" s="61" t="n">
        <x:v>9.05</x:v>
      </x:c>
    </x:row>
    <x:row r="362">
      <x:c r="A362" s="70" t="str">
        <x:v>US-40</x:v>
      </x:c>
      <x:c r="B362" s="70" t="str">
        <x:v>Oklahoma</x:v>
      </x:c>
      <x:c r="C362" s="70" t="n">
        <x:v>2021</x:v>
      </x:c>
      <x:c r="D362" s="61" t="n">
        <x:v>8.57</x:v>
      </x:c>
      <x:c r="E362" s="61" t="n">
        <x:v>8.93</x:v>
      </x:c>
    </x:row>
    <x:row r="363">
      <x:c r="A363" s="70" t="str">
        <x:v>US-40</x:v>
      </x:c>
      <x:c r="B363" s="70" t="str">
        <x:v>Oklahoma</x:v>
      </x:c>
      <x:c r="C363" s="70" t="n">
        <x:v>2022</x:v>
      </x:c>
      <x:c r="D363" s="61" t="n">
        <x:v>7.87</x:v>
      </x:c>
      <x:c r="E363" s="61" t="n">
        <x:v>8.3</x:v>
      </x:c>
    </x:row>
    <x:row r="364">
      <x:c r="A364" s="70" t="str">
        <x:v>US-40</x:v>
      </x:c>
      <x:c r="B364" s="70" t="str">
        <x:v>Oklahoma</x:v>
      </x:c>
      <x:c r="C364" s="70" t="n">
        <x:v>2023</x:v>
      </x:c>
      <x:c r="D364" s="61" t="n">
        <x:v>7.21</x:v>
      </x:c>
      <x:c r="E364" s="61" t="n">
        <x:v>7.53</x:v>
      </x:c>
    </x:row>
    <x:row r="365">
      <x:c r="A365" s="70" t="str">
        <x:v>US-40</x:v>
      </x:c>
      <x:c r="B365" s="70" t="str">
        <x:v>Oklahoma</x:v>
      </x:c>
      <x:c r="C365" s="70" t="n">
        <x:v>2024</x:v>
      </x:c>
      <x:c r="D365" s="61" t="n">
        <x:v>6.91</x:v>
      </x:c>
      <x:c r="E365" s="61" t="n">
        <x:v>7.19</x:v>
      </x:c>
    </x:row>
    <x:row r="366">
      <x:c r="A366" s="70" t="str">
        <x:v>US-41</x:v>
      </x:c>
      <x:c r="B366" s="70" t="str">
        <x:v>Oregon</x:v>
      </x:c>
      <x:c r="C366" s="70" t="n">
        <x:v>2015</x:v>
      </x:c>
      <x:c r="D366" s="61" t="n">
        <x:v>3.43</x:v>
      </x:c>
      <x:c r="E366" s="61" t="n">
        <x:v>3.43</x:v>
      </x:c>
    </x:row>
    <x:row r="367">
      <x:c r="A367" s="70" t="str">
        <x:v>US-41</x:v>
      </x:c>
      <x:c r="B367" s="70" t="str">
        <x:v>Oregon</x:v>
      </x:c>
      <x:c r="C367" s="70" t="n">
        <x:v>2016</x:v>
      </x:c>
      <x:c r="D367" s="61" t="n">
        <x:v>3.15</x:v>
      </x:c>
      <x:c r="E367" s="61" t="n">
        <x:v>3.22</x:v>
      </x:c>
    </x:row>
    <x:row r="368">
      <x:c r="A368" s="70" t="str">
        <x:v>US-41</x:v>
      </x:c>
      <x:c r="B368" s="70" t="str">
        <x:v>Oregon</x:v>
      </x:c>
      <x:c r="C368" s="70" t="n">
        <x:v>2017</x:v>
      </x:c>
      <x:c r="D368" s="61" t="n">
        <x:v>3.06</x:v>
      </x:c>
      <x:c r="E368" s="61" t="n">
        <x:v>3.09</x:v>
      </x:c>
    </x:row>
    <x:row r="369">
      <x:c r="A369" s="70" t="str">
        <x:v>US-41</x:v>
      </x:c>
      <x:c r="B369" s="70" t="str">
        <x:v>Oregon</x:v>
      </x:c>
      <x:c r="C369" s="70" t="n">
        <x:v>2018</x:v>
      </x:c>
      <x:c r="D369" s="61" t="n">
        <x:v>2.44</x:v>
      </x:c>
      <x:c r="E369" s="61" t="n">
        <x:v>2.43</x:v>
      </x:c>
    </x:row>
    <x:row r="370">
      <x:c r="A370" s="70" t="str">
        <x:v>US-41</x:v>
      </x:c>
      <x:c r="B370" s="70" t="str">
        <x:v>Oregon</x:v>
      </x:c>
      <x:c r="C370" s="70" t="n">
        <x:v>2019</x:v>
      </x:c>
      <x:c r="D370" s="61" t="n">
        <x:v>2.99</x:v>
      </x:c>
      <x:c r="E370" s="61" t="n">
        <x:v>2.96</x:v>
      </x:c>
    </x:row>
    <x:row r="371">
      <x:c r="A371" s="70" t="str">
        <x:v>US-41</x:v>
      </x:c>
      <x:c r="B371" s="70" t="str">
        <x:v>Oregon</x:v>
      </x:c>
      <x:c r="C371" s="70" t="n">
        <x:v>2020</x:v>
      </x:c>
      <x:c r="D371" s="61" t="n">
        <x:v>3.7</x:v>
      </x:c>
      <x:c r="E371" s="61" t="n">
        <x:v>3.76</x:v>
      </x:c>
    </x:row>
    <x:row r="372">
      <x:c r="A372" s="70" t="str">
        <x:v>US-41</x:v>
      </x:c>
      <x:c r="B372" s="70" t="str">
        <x:v>Oregon</x:v>
      </x:c>
      <x:c r="C372" s="70" t="n">
        <x:v>2021</x:v>
      </x:c>
      <x:c r="D372" s="61" t="n">
        <x:v>4.8</x:v>
      </x:c>
      <x:c r="E372" s="61" t="n">
        <x:v>4.91</x:v>
      </x:c>
    </x:row>
    <x:row r="373">
      <x:c r="A373" s="70" t="str">
        <x:v>US-41</x:v>
      </x:c>
      <x:c r="B373" s="70" t="str">
        <x:v>Oregon</x:v>
      </x:c>
      <x:c r="C373" s="70" t="n">
        <x:v>2022</x:v>
      </x:c>
      <x:c r="D373" s="61" t="n">
        <x:v>4.99</x:v>
      </x:c>
      <x:c r="E373" s="61" t="n">
        <x:v>5.1</x:v>
      </x:c>
    </x:row>
    <x:row r="374">
      <x:c r="A374" s="70" t="str">
        <x:v>US-41</x:v>
      </x:c>
      <x:c r="B374" s="70" t="str">
        <x:v>Oregon</x:v>
      </x:c>
      <x:c r="C374" s="70" t="n">
        <x:v>2023</x:v>
      </x:c>
      <x:c r="D374" s="61" t="n">
        <x:v>4.42</x:v>
      </x:c>
      <x:c r="E374" s="61" t="n">
        <x:v>4.55</x:v>
      </x:c>
    </x:row>
    <x:row r="375">
      <x:c r="A375" s="70" t="str">
        <x:v>US-41</x:v>
      </x:c>
      <x:c r="B375" s="70" t="str">
        <x:v>Oregon</x:v>
      </x:c>
      <x:c r="C375" s="70" t="n">
        <x:v>2024</x:v>
      </x:c>
      <x:c r="D375" s="61" t="n">
        <x:v>4</x:v>
      </x:c>
      <x:c r="E375" s="61" t="n">
        <x:v>4.01</x:v>
      </x:c>
    </x:row>
    <x:row r="376">
      <x:c r="A376" s="70" t="str">
        <x:v>US-42</x:v>
      </x:c>
      <x:c r="B376" s="70" t="str">
        <x:v>Pennsylvania</x:v>
      </x:c>
      <x:c r="C376" s="70" t="n">
        <x:v>2015</x:v>
      </x:c>
      <x:c r="D376" s="61" t="n">
        <x:v>5.26</x:v>
      </x:c>
      <x:c r="E376" s="61" t="n">
        <x:v>5.5</x:v>
      </x:c>
    </x:row>
    <x:row r="377">
      <x:c r="A377" s="70" t="str">
        <x:v>US-42</x:v>
      </x:c>
      <x:c r="B377" s="70" t="str">
        <x:v>Pennsylvania</x:v>
      </x:c>
      <x:c r="C377" s="70" t="n">
        <x:v>2016</x:v>
      </x:c>
      <x:c r="D377" s="61" t="n">
        <x:v>5.65</x:v>
      </x:c>
      <x:c r="E377" s="61" t="n">
        <x:v>5.95</x:v>
      </x:c>
    </x:row>
    <x:row r="378">
      <x:c r="A378" s="70" t="str">
        <x:v>US-42</x:v>
      </x:c>
      <x:c r="B378" s="70" t="str">
        <x:v>Pennsylvania</x:v>
      </x:c>
      <x:c r="C378" s="70" t="n">
        <x:v>2017</x:v>
      </x:c>
      <x:c r="D378" s="61" t="n">
        <x:v>6.18</x:v>
      </x:c>
      <x:c r="E378" s="61" t="n">
        <x:v>6.59</x:v>
      </x:c>
    </x:row>
    <x:row r="379">
      <x:c r="A379" s="70" t="str">
        <x:v>US-42</x:v>
      </x:c>
      <x:c r="B379" s="70" t="str">
        <x:v>Pennsylvania</x:v>
      </x:c>
      <x:c r="C379" s="70" t="n">
        <x:v>2018</x:v>
      </x:c>
      <x:c r="D379" s="61" t="n">
        <x:v>6.1</x:v>
      </x:c>
      <x:c r="E379" s="61" t="n">
        <x:v>6.37</x:v>
      </x:c>
    </x:row>
    <x:row r="380">
      <x:c r="A380" s="70" t="str">
        <x:v>US-42</x:v>
      </x:c>
      <x:c r="B380" s="70" t="str">
        <x:v>Pennsylvania</x:v>
      </x:c>
      <x:c r="C380" s="70" t="n">
        <x:v>2019</x:v>
      </x:c>
      <x:c r="D380" s="61" t="n">
        <x:v>5.64</x:v>
      </x:c>
      <x:c r="E380" s="61" t="n">
        <x:v>6.05</x:v>
      </x:c>
    </x:row>
    <x:row r="381">
      <x:c r="A381" s="70" t="str">
        <x:v>US-42</x:v>
      </x:c>
      <x:c r="B381" s="70" t="str">
        <x:v>Pennsylvania</x:v>
      </x:c>
      <x:c r="C381" s="70" t="n">
        <x:v>2020</x:v>
      </x:c>
      <x:c r="D381" s="61" t="n">
        <x:v>7.65</x:v>
      </x:c>
      <x:c r="E381" s="61" t="n">
        <x:v>8.34</x:v>
      </x:c>
    </x:row>
    <x:row r="382">
      <x:c r="A382" s="70" t="str">
        <x:v>US-42</x:v>
      </x:c>
      <x:c r="B382" s="70" t="str">
        <x:v>Pennsylvania</x:v>
      </x:c>
      <x:c r="C382" s="70" t="n">
        <x:v>2021</x:v>
      </x:c>
      <x:c r="D382" s="61" t="n">
        <x:v>8.46</x:v>
      </x:c>
      <x:c r="E382" s="61" t="n">
        <x:v>9.11</x:v>
      </x:c>
    </x:row>
    <x:row r="383">
      <x:c r="A383" s="70" t="str">
        <x:v>US-42</x:v>
      </x:c>
      <x:c r="B383" s="70" t="str">
        <x:v>Pennsylvania</x:v>
      </x:c>
      <x:c r="C383" s="70" t="n">
        <x:v>2022</x:v>
      </x:c>
      <x:c r="D383" s="61" t="n">
        <x:v>8.23</x:v>
      </x:c>
      <x:c r="E383" s="61" t="n">
        <x:v>8.91</x:v>
      </x:c>
    </x:row>
    <x:row r="384">
      <x:c r="A384" s="70" t="str">
        <x:v>US-42</x:v>
      </x:c>
      <x:c r="B384" s="70" t="str">
        <x:v>Pennsylvania</x:v>
      </x:c>
      <x:c r="C384" s="70" t="n">
        <x:v>2023</x:v>
      </x:c>
      <x:c r="D384" s="61" t="n">
        <x:v>7.02</x:v>
      </x:c>
      <x:c r="E384" s="61" t="n">
        <x:v>7.56</x:v>
      </x:c>
    </x:row>
    <x:row r="385">
      <x:c r="A385" s="70" t="str">
        <x:v>US-42</x:v>
      </x:c>
      <x:c r="B385" s="70" t="str">
        <x:v>Pennsylvania</x:v>
      </x:c>
      <x:c r="C385" s="70" t="n">
        <x:v>2024</x:v>
      </x:c>
      <x:c r="D385" s="61" t="n">
        <x:v>5.23</x:v>
      </x:c>
      <x:c r="E385" s="61" t="n">
        <x:v>5.56</x:v>
      </x:c>
    </x:row>
    <x:row r="386">
      <x:c r="A386" s="70" t="str">
        <x:v>US-44</x:v>
      </x:c>
      <x:c r="B386" s="70" t="str">
        <x:v>Rhode Island</x:v>
      </x:c>
      <x:c r="C386" s="70" t="n">
        <x:v>2015</x:v>
      </x:c>
      <x:c r="D386" s="61" t="n">
        <x:v>2.65</x:v>
      </x:c>
      <x:c r="E386" s="61" t="n">
        <x:v>2.77</x:v>
      </x:c>
    </x:row>
    <x:row r="387">
      <x:c r="A387" s="70" t="str">
        <x:v>US-44</x:v>
      </x:c>
      <x:c r="B387" s="70" t="str">
        <x:v>Rhode Island</x:v>
      </x:c>
      <x:c r="C387" s="70" t="n">
        <x:v>2016</x:v>
      </x:c>
      <x:c r="D387" s="61" t="n">
        <x:v>2.36</x:v>
      </x:c>
      <x:c r="E387" s="61" t="n">
        <x:v>2.25</x:v>
      </x:c>
    </x:row>
    <x:row r="388">
      <x:c r="A388" s="70" t="str">
        <x:v>US-44</x:v>
      </x:c>
      <x:c r="B388" s="70" t="str">
        <x:v>Rhode Island</x:v>
      </x:c>
      <x:c r="C388" s="70" t="n">
        <x:v>2017</x:v>
      </x:c>
      <x:c r="D388" s="61" t="n">
        <x:v>1.8</x:v>
      </x:c>
      <x:c r="E388" s="61" t="n">
        <x:v>1.97</x:v>
      </x:c>
    </x:row>
    <x:row r="389">
      <x:c r="A389" s="70" t="str">
        <x:v>US-44</x:v>
      </x:c>
      <x:c r="B389" s="70" t="str">
        <x:v>Rhode Island</x:v>
      </x:c>
      <x:c r="C389" s="70" t="n">
        <x:v>2018</x:v>
      </x:c>
      <x:c r="D389" s="61" t="n">
        <x:v>1.51</x:v>
      </x:c>
      <x:c r="E389" s="61" t="n">
        <x:v>1.39</x:v>
      </x:c>
    </x:row>
    <x:row r="390">
      <x:c r="A390" s="70" t="str">
        <x:v>US-44</x:v>
      </x:c>
      <x:c r="B390" s="70" t="str">
        <x:v>Rhode Island</x:v>
      </x:c>
      <x:c r="C390" s="70" t="n">
        <x:v>2019</x:v>
      </x:c>
      <x:c r="D390" s="61" t="n">
        <x:v>2.17</x:v>
      </x:c>
      <x:c r="E390" s="61" t="n">
        <x:v>2.53</x:v>
      </x:c>
    </x:row>
    <x:row r="391">
      <x:c r="A391" s="70" t="str">
        <x:v>US-44</x:v>
      </x:c>
      <x:c r="B391" s="70" t="str">
        <x:v>Rhode Island</x:v>
      </x:c>
      <x:c r="C391" s="70" t="n">
        <x:v>2020</x:v>
      </x:c>
      <x:c r="D391" s="61" t="n">
        <x:v>2.65</x:v>
      </x:c>
      <x:c r="E391" s="61" t="n">
        <x:v>2.78</x:v>
      </x:c>
    </x:row>
    <x:row r="392">
      <x:c r="A392" s="70" t="str">
        <x:v>US-44</x:v>
      </x:c>
      <x:c r="B392" s="70" t="str">
        <x:v>Rhode Island</x:v>
      </x:c>
      <x:c r="C392" s="70" t="n">
        <x:v>2021</x:v>
      </x:c>
      <x:c r="D392" s="61" t="n">
        <x:v>3.65</x:v>
      </x:c>
      <x:c r="E392" s="61" t="n">
        <x:v>3.52</x:v>
      </x:c>
    </x:row>
    <x:row r="393">
      <x:c r="A393" s="70" t="str">
        <x:v>US-44</x:v>
      </x:c>
      <x:c r="B393" s="70" t="str">
        <x:v>Rhode Island</x:v>
      </x:c>
      <x:c r="C393" s="70" t="n">
        <x:v>2022</x:v>
      </x:c>
      <x:c r="D393" s="61" t="n">
        <x:v>2</x:v>
      </x:c>
      <x:c r="E393" s="61" t="n">
        <x:v>1.98</x:v>
      </x:c>
    </x:row>
    <x:row r="394">
      <x:c r="A394" s="70" t="str">
        <x:v>US-44</x:v>
      </x:c>
      <x:c r="B394" s="70" t="str">
        <x:v>Rhode Island</x:v>
      </x:c>
      <x:c r="C394" s="70" t="n">
        <x:v>2023</x:v>
      </x:c>
      <x:c r="D394" s="61" t="n">
        <x:v>2.72</x:v>
      </x:c>
      <x:c r="E394" s="61" t="n">
        <x:v>2.52</x:v>
      </x:c>
    </x:row>
    <x:row r="395">
      <x:c r="A395" s="70" t="str">
        <x:v>US-44</x:v>
      </x:c>
      <x:c r="B395" s="70" t="str">
        <x:v>Rhode Island</x:v>
      </x:c>
      <x:c r="C395" s="70" t="n">
        <x:v>2024</x:v>
      </x:c>
      <x:c r="D395" s="61" t="n">
        <x:v>1.8</x:v>
      </x:c>
      <x:c r="E395" s="61" t="n">
        <x:v>2.04</x:v>
      </x:c>
    </x:row>
    <x:row r="396">
      <x:c r="A396" s="70" t="str">
        <x:v>US-45</x:v>
      </x:c>
      <x:c r="B396" s="70" t="str">
        <x:v>South Carolina</x:v>
      </x:c>
      <x:c r="C396" s="70" t="n">
        <x:v>2015</x:v>
      </x:c>
      <x:c r="D396" s="61" t="n">
        <x:v>9.15</x:v>
      </x:c>
      <x:c r="E396" s="61" t="n">
        <x:v>9.4</x:v>
      </x:c>
    </x:row>
    <x:row r="397">
      <x:c r="A397" s="70" t="str">
        <x:v>US-45</x:v>
      </x:c>
      <x:c r="B397" s="70" t="str">
        <x:v>South Carolina</x:v>
      </x:c>
      <x:c r="C397" s="70" t="n">
        <x:v>2016</x:v>
      </x:c>
      <x:c r="D397" s="61" t="n">
        <x:v>8.58</x:v>
      </x:c>
      <x:c r="E397" s="61" t="n">
        <x:v>8.97</x:v>
      </x:c>
    </x:row>
    <x:row r="398">
      <x:c r="A398" s="70" t="str">
        <x:v>US-45</x:v>
      </x:c>
      <x:c r="B398" s="70" t="str">
        <x:v>South Carolina</x:v>
      </x:c>
      <x:c r="C398" s="70" t="n">
        <x:v>2017</x:v>
      </x:c>
      <x:c r="D398" s="61" t="n">
        <x:v>8.83</x:v>
      </x:c>
      <x:c r="E398" s="61" t="n">
        <x:v>9.25</x:v>
      </x:c>
    </x:row>
    <x:row r="399">
      <x:c r="A399" s="70" t="str">
        <x:v>US-45</x:v>
      </x:c>
      <x:c r="B399" s="70" t="str">
        <x:v>South Carolina</x:v>
      </x:c>
      <x:c r="C399" s="70" t="n">
        <x:v>2018</x:v>
      </x:c>
      <x:c r="D399" s="61" t="n">
        <x:v>9.45</x:v>
      </x:c>
      <x:c r="E399" s="61" t="n">
        <x:v>10.04</x:v>
      </x:c>
    </x:row>
    <x:row r="400">
      <x:c r="A400" s="70" t="str">
        <x:v>US-45</x:v>
      </x:c>
      <x:c r="B400" s="70" t="str">
        <x:v>South Carolina</x:v>
      </x:c>
      <x:c r="C400" s="70" t="n">
        <x:v>2019</x:v>
      </x:c>
      <x:c r="D400" s="61" t="n">
        <x:v>10.22</x:v>
      </x:c>
      <x:c r="E400" s="61" t="n">
        <x:v>10.85</x:v>
      </x:c>
    </x:row>
    <x:row r="401">
      <x:c r="A401" s="70" t="str">
        <x:v>US-45</x:v>
      </x:c>
      <x:c r="B401" s="70" t="str">
        <x:v>South Carolina</x:v>
      </x:c>
      <x:c r="C401" s="70" t="n">
        <x:v>2020</x:v>
      </x:c>
      <x:c r="D401" s="61" t="n">
        <x:v>12.12</x:v>
      </x:c>
      <x:c r="E401" s="61" t="n">
        <x:v>12.85</x:v>
      </x:c>
    </x:row>
    <x:row r="402">
      <x:c r="A402" s="70" t="str">
        <x:v>US-45</x:v>
      </x:c>
      <x:c r="B402" s="70" t="str">
        <x:v>South Carolina</x:v>
      </x:c>
      <x:c r="C402" s="70" t="n">
        <x:v>2021</x:v>
      </x:c>
      <x:c r="D402" s="61" t="n">
        <x:v>12.63</x:v>
      </x:c>
      <x:c r="E402" s="61" t="n">
        <x:v>13.38</x:v>
      </x:c>
    </x:row>
    <x:row r="403">
      <x:c r="A403" s="70" t="str">
        <x:v>US-45</x:v>
      </x:c>
      <x:c r="B403" s="70" t="str">
        <x:v>South Carolina</x:v>
      </x:c>
      <x:c r="C403" s="70" t="n">
        <x:v>2022</x:v>
      </x:c>
      <x:c r="D403" s="61" t="n">
        <x:v>11.25</x:v>
      </x:c>
      <x:c r="E403" s="61" t="n">
        <x:v>11.88</x:v>
      </x:c>
    </x:row>
    <x:row r="404">
      <x:c r="A404" s="70" t="str">
        <x:v>US-45</x:v>
      </x:c>
      <x:c r="B404" s="70" t="str">
        <x:v>South Carolina</x:v>
      </x:c>
      <x:c r="C404" s="70" t="n">
        <x:v>2023</x:v>
      </x:c>
      <x:c r="D404" s="61" t="n">
        <x:v>10.47</x:v>
      </x:c>
      <x:c r="E404" s="61" t="n">
        <x:v>11.25</x:v>
      </x:c>
    </x:row>
    <x:row r="405">
      <x:c r="A405" s="70" t="str">
        <x:v>US-45</x:v>
      </x:c>
      <x:c r="B405" s="70" t="str">
        <x:v>South Carolina</x:v>
      </x:c>
      <x:c r="C405" s="70" t="n">
        <x:v>2024</x:v>
      </x:c>
      <x:c r="D405" s="61" t="n">
        <x:v>9.22</x:v>
      </x:c>
      <x:c r="E405" s="61" t="n">
        <x:v>9.9</x:v>
      </x:c>
    </x:row>
    <x:row r="406">
      <x:c r="A406" s="70" t="str">
        <x:v>US-46</x:v>
      </x:c>
      <x:c r="B406" s="70" t="str">
        <x:v>South Dakota</x:v>
      </x:c>
      <x:c r="C406" s="70" t="n">
        <x:v>2015</x:v>
      </x:c>
      <x:c r="D406" s="61" t="n">
        <x:v>4.1</x:v>
      </x:c>
      <x:c r="E406" s="61" t="n">
        <x:v>4.37</x:v>
      </x:c>
    </x:row>
    <x:row r="407">
      <x:c r="A407" s="70" t="str">
        <x:v>US-46</x:v>
      </x:c>
      <x:c r="B407" s="70" t="str">
        <x:v>South Dakota</x:v>
      </x:c>
      <x:c r="C407" s="70" t="n">
        <x:v>2016</x:v>
      </x:c>
      <x:c r="D407" s="61" t="n">
        <x:v>4.4</x:v>
      </x:c>
      <x:c r="E407" s="61" t="n">
        <x:v>4.75</x:v>
      </x:c>
    </x:row>
    <x:row r="408">
      <x:c r="A408" s="70" t="str">
        <x:v>US-46</x:v>
      </x:c>
      <x:c r="B408" s="70" t="str">
        <x:v>South Dakota</x:v>
      </x:c>
      <x:c r="C408" s="70" t="n">
        <x:v>2017</x:v>
      </x:c>
      <x:c r="D408" s="61" t="n">
        <x:v>3.89</x:v>
      </x:c>
      <x:c r="E408" s="61" t="n">
        <x:v>4.22</x:v>
      </x:c>
    </x:row>
    <x:row r="409">
      <x:c r="A409" s="70" t="str">
        <x:v>US-46</x:v>
      </x:c>
      <x:c r="B409" s="70" t="str">
        <x:v>South Dakota</x:v>
      </x:c>
      <x:c r="C409" s="70" t="n">
        <x:v>2018</x:v>
      </x:c>
      <x:c r="D409" s="61" t="n">
        <x:v>3.64</x:v>
      </x:c>
      <x:c r="E409" s="61" t="n">
        <x:v>3.87</x:v>
      </x:c>
    </x:row>
    <x:row r="410">
      <x:c r="A410" s="70" t="str">
        <x:v>US-46</x:v>
      </x:c>
      <x:c r="B410" s="70" t="str">
        <x:v>South Dakota</x:v>
      </x:c>
      <x:c r="C410" s="70" t="n">
        <x:v>2019</x:v>
      </x:c>
      <x:c r="D410" s="61" t="n">
        <x:v>3.27</x:v>
      </x:c>
      <x:c r="E410" s="61" t="n">
        <x:v>3.55</x:v>
      </x:c>
    </x:row>
    <x:row r="411">
      <x:c r="A411" s="70" t="str">
        <x:v>US-46</x:v>
      </x:c>
      <x:c r="B411" s="70" t="str">
        <x:v>South Dakota</x:v>
      </x:c>
      <x:c r="C411" s="70" t="n">
        <x:v>2020</x:v>
      </x:c>
      <x:c r="D411" s="61" t="n">
        <x:v>5.86</x:v>
      </x:c>
      <x:c r="E411" s="61" t="n">
        <x:v>6.5</x:v>
      </x:c>
    </x:row>
    <x:row r="412">
      <x:c r="A412" s="70" t="str">
        <x:v>US-46</x:v>
      </x:c>
      <x:c r="B412" s="70" t="str">
        <x:v>South Dakota</x:v>
      </x:c>
      <x:c r="C412" s="70" t="n">
        <x:v>2021</x:v>
      </x:c>
      <x:c r="D412" s="61" t="n">
        <x:v>5.02</x:v>
      </x:c>
      <x:c r="E412" s="61" t="n">
        <x:v>5.35</x:v>
      </x:c>
    </x:row>
    <x:row r="413">
      <x:c r="A413" s="70" t="str">
        <x:v>US-46</x:v>
      </x:c>
      <x:c r="B413" s="70" t="str">
        <x:v>South Dakota</x:v>
      </x:c>
      <x:c r="C413" s="70" t="n">
        <x:v>2022</x:v>
      </x:c>
      <x:c r="D413" s="61" t="n">
        <x:v>6.16</x:v>
      </x:c>
      <x:c r="E413" s="61" t="n">
        <x:v>6.81</x:v>
      </x:c>
    </x:row>
    <x:row r="414">
      <x:c r="A414" s="70" t="str">
        <x:v>US-46</x:v>
      </x:c>
      <x:c r="B414" s="70" t="str">
        <x:v>South Dakota</x:v>
      </x:c>
      <x:c r="C414" s="70" t="n">
        <x:v>2023</x:v>
      </x:c>
      <x:c r="D414" s="61" t="n">
        <x:v>4.14</x:v>
      </x:c>
      <x:c r="E414" s="61" t="n">
        <x:v>4.3</x:v>
      </x:c>
    </x:row>
    <x:row r="415">
      <x:c r="A415" s="70" t="str">
        <x:v>US-46</x:v>
      </x:c>
      <x:c r="B415" s="70" t="str">
        <x:v>South Dakota</x:v>
      </x:c>
      <x:c r="C415" s="70" t="n">
        <x:v>2024</x:v>
      </x:c>
      <x:c r="D415" s="61" t="n">
        <x:v>5.95</x:v>
      </x:c>
      <x:c r="E415" s="61" t="n">
        <x:v>6.69</x:v>
      </x:c>
    </x:row>
    <x:row r="416">
      <x:c r="A416" s="70" t="str">
        <x:v>US-47</x:v>
      </x:c>
      <x:c r="B416" s="70" t="str">
        <x:v>Tennessee</x:v>
      </x:c>
      <x:c r="C416" s="70" t="n">
        <x:v>2015</x:v>
      </x:c>
      <x:c r="D416" s="61" t="n">
        <x:v>6.98</x:v>
      </x:c>
      <x:c r="E416" s="61" t="n">
        <x:v>7.13</x:v>
      </x:c>
    </x:row>
    <x:row r="417">
      <x:c r="A417" s="70" t="str">
        <x:v>US-47</x:v>
      </x:c>
      <x:c r="B417" s="70" t="str">
        <x:v>Tennessee</x:v>
      </x:c>
      <x:c r="C417" s="70" t="n">
        <x:v>2016</x:v>
      </x:c>
      <x:c r="D417" s="61" t="n">
        <x:v>8.47</x:v>
      </x:c>
      <x:c r="E417" s="61" t="n">
        <x:v>8.71</x:v>
      </x:c>
    </x:row>
    <x:row r="418">
      <x:c r="A418" s="70" t="str">
        <x:v>US-47</x:v>
      </x:c>
      <x:c r="B418" s="70" t="str">
        <x:v>Tennessee</x:v>
      </x:c>
      <x:c r="C418" s="70" t="n">
        <x:v>2017</x:v>
      </x:c>
      <x:c r="D418" s="61" t="n">
        <x:v>8.3</x:v>
      </x:c>
      <x:c r="E418" s="61" t="n">
        <x:v>8.77</x:v>
      </x:c>
    </x:row>
    <x:row r="419">
      <x:c r="A419" s="70" t="str">
        <x:v>US-47</x:v>
      </x:c>
      <x:c r="B419" s="70" t="str">
        <x:v>Tennessee</x:v>
      </x:c>
      <x:c r="C419" s="70" t="n">
        <x:v>2018</x:v>
      </x:c>
      <x:c r="D419" s="61" t="n">
        <x:v>8.91</x:v>
      </x:c>
      <x:c r="E419" s="61" t="n">
        <x:v>9.21</x:v>
      </x:c>
    </x:row>
    <x:row r="420">
      <x:c r="A420" s="70" t="str">
        <x:v>US-47</x:v>
      </x:c>
      <x:c r="B420" s="70" t="str">
        <x:v>Tennessee</x:v>
      </x:c>
      <x:c r="C420" s="70" t="n">
        <x:v>2019</x:v>
      </x:c>
      <x:c r="D420" s="61" t="n">
        <x:v>8.73</x:v>
      </x:c>
      <x:c r="E420" s="61" t="n">
        <x:v>9.12</x:v>
      </x:c>
    </x:row>
    <x:row r="421">
      <x:c r="A421" s="70" t="str">
        <x:v>US-47</x:v>
      </x:c>
      <x:c r="B421" s="70" t="str">
        <x:v>Tennessee</x:v>
      </x:c>
      <x:c r="C421" s="70" t="n">
        <x:v>2020</x:v>
      </x:c>
      <x:c r="D421" s="61" t="n">
        <x:v>10.87</x:v>
      </x:c>
      <x:c r="E421" s="61" t="n">
        <x:v>11.33</x:v>
      </x:c>
    </x:row>
    <x:row r="422">
      <x:c r="A422" s="70" t="str">
        <x:v>US-47</x:v>
      </x:c>
      <x:c r="B422" s="70" t="str">
        <x:v>Tennessee</x:v>
      </x:c>
      <x:c r="C422" s="70" t="n">
        <x:v>2021</x:v>
      </x:c>
      <x:c r="D422" s="61" t="n">
        <x:v>11.63</x:v>
      </x:c>
      <x:c r="E422" s="61" t="n">
        <x:v>12.23</x:v>
      </x:c>
    </x:row>
    <x:row r="423">
      <x:c r="A423" s="70" t="str">
        <x:v>US-47</x:v>
      </x:c>
      <x:c r="B423" s="70" t="str">
        <x:v>Tennessee</x:v>
      </x:c>
      <x:c r="C423" s="70" t="n">
        <x:v>2022</x:v>
      </x:c>
      <x:c r="D423" s="61" t="n">
        <x:v>10.45</x:v>
      </x:c>
      <x:c r="E423" s="61" t="n">
        <x:v>11.03</x:v>
      </x:c>
    </x:row>
    <x:row r="424">
      <x:c r="A424" s="70" t="str">
        <x:v>US-47</x:v>
      </x:c>
      <x:c r="B424" s="70" t="str">
        <x:v>Tennessee</x:v>
      </x:c>
      <x:c r="C424" s="70" t="n">
        <x:v>2023</x:v>
      </x:c>
      <x:c r="D424" s="61" t="n">
        <x:v>10.87</x:v>
      </x:c>
      <x:c r="E424" s="61" t="n">
        <x:v>11.36</x:v>
      </x:c>
    </x:row>
    <x:row r="425">
      <x:c r="A425" s="70" t="str">
        <x:v>US-47</x:v>
      </x:c>
      <x:c r="B425" s="70" t="str">
        <x:v>Tennessee</x:v>
      </x:c>
      <x:c r="C425" s="70" t="n">
        <x:v>2024</x:v>
      </x:c>
      <x:c r="D425" s="61" t="n">
        <x:v>9.64</x:v>
      </x:c>
      <x:c r="E425" s="61" t="n">
        <x:v>10.05</x:v>
      </x:c>
    </x:row>
    <x:row r="426">
      <x:c r="A426" s="70" t="str">
        <x:v>US-48</x:v>
      </x:c>
      <x:c r="B426" s="70" t="str">
        <x:v>Texas</x:v>
      </x:c>
      <x:c r="C426" s="70" t="n">
        <x:v>2015</x:v>
      </x:c>
      <x:c r="D426" s="61" t="n">
        <x:v>5.6</x:v>
      </x:c>
      <x:c r="E426" s="61" t="n">
        <x:v>5.59</x:v>
      </x:c>
    </x:row>
    <x:row r="427">
      <x:c r="A427" s="70" t="str">
        <x:v>US-48</x:v>
      </x:c>
      <x:c r="B427" s="70" t="str">
        <x:v>Texas</x:v>
      </x:c>
      <x:c r="C427" s="70" t="n">
        <x:v>2016</x:v>
      </x:c>
      <x:c r="D427" s="61" t="n">
        <x:v>5.98</x:v>
      </x:c>
      <x:c r="E427" s="61" t="n">
        <x:v>5.96</x:v>
      </x:c>
    </x:row>
    <x:row r="428">
      <x:c r="A428" s="70" t="str">
        <x:v>US-48</x:v>
      </x:c>
      <x:c r="B428" s="70" t="str">
        <x:v>Texas</x:v>
      </x:c>
      <x:c r="C428" s="70" t="n">
        <x:v>2017</x:v>
      </x:c>
      <x:c r="D428" s="61" t="n">
        <x:v>5.84</x:v>
      </x:c>
      <x:c r="E428" s="61" t="n">
        <x:v>5.78</x:v>
      </x:c>
    </x:row>
    <x:row r="429">
      <x:c r="A429" s="70" t="str">
        <x:v>US-48</x:v>
      </x:c>
      <x:c r="B429" s="70" t="str">
        <x:v>Texas</x:v>
      </x:c>
      <x:c r="C429" s="70" t="n">
        <x:v>2018</x:v>
      </x:c>
      <x:c r="D429" s="61" t="n">
        <x:v>5.44</x:v>
      </x:c>
      <x:c r="E429" s="61" t="n">
        <x:v>5.45</x:v>
      </x:c>
    </x:row>
    <x:row r="430">
      <x:c r="A430" s="70" t="str">
        <x:v>US-48</x:v>
      </x:c>
      <x:c r="B430" s="70" t="str">
        <x:v>Texas</x:v>
      </x:c>
      <x:c r="C430" s="70" t="n">
        <x:v>2019</x:v>
      </x:c>
      <x:c r="D430" s="61" t="n">
        <x:v>5.84</x:v>
      </x:c>
      <x:c r="E430" s="61" t="n">
        <x:v>5.86</x:v>
      </x:c>
    </x:row>
    <x:row r="431">
      <x:c r="A431" s="70" t="str">
        <x:v>US-48</x:v>
      </x:c>
      <x:c r="B431" s="70" t="str">
        <x:v>Texas</x:v>
      </x:c>
      <x:c r="C431" s="70" t="n">
        <x:v>2020</x:v>
      </x:c>
      <x:c r="D431" s="61" t="n">
        <x:v>7.57</x:v>
      </x:c>
      <x:c r="E431" s="61" t="n">
        <x:v>7.59</x:v>
      </x:c>
    </x:row>
    <x:row r="432">
      <x:c r="A432" s="70" t="str">
        <x:v>US-48</x:v>
      </x:c>
      <x:c r="B432" s="70" t="str">
        <x:v>Texas</x:v>
      </x:c>
      <x:c r="C432" s="70" t="n">
        <x:v>2021</x:v>
      </x:c>
      <x:c r="D432" s="61" t="n">
        <x:v>8.09</x:v>
      </x:c>
      <x:c r="E432" s="61" t="n">
        <x:v>8.14</x:v>
      </x:c>
    </x:row>
    <x:row r="433">
      <x:c r="A433" s="70" t="str">
        <x:v>US-48</x:v>
      </x:c>
      <x:c r="B433" s="70" t="str">
        <x:v>Texas</x:v>
      </x:c>
      <x:c r="C433" s="70" t="n">
        <x:v>2022</x:v>
      </x:c>
      <x:c r="D433" s="61" t="n">
        <x:v>7.58</x:v>
      </x:c>
      <x:c r="E433" s="61" t="n">
        <x:v>7.58</x:v>
      </x:c>
    </x:row>
    <x:row r="434">
      <x:c r="A434" s="70" t="str">
        <x:v>US-48</x:v>
      </x:c>
      <x:c r="B434" s="70" t="str">
        <x:v>Texas</x:v>
      </x:c>
      <x:c r="C434" s="70" t="n">
        <x:v>2023</x:v>
      </x:c>
      <x:c r="D434" s="61" t="n">
        <x:v>7.03</x:v>
      </x:c>
      <x:c r="E434" s="61" t="n">
        <x:v>7.02</x:v>
      </x:c>
    </x:row>
    <x:row r="435">
      <x:c r="A435" s="70" t="str">
        <x:v>US-48</x:v>
      </x:c>
      <x:c r="B435" s="70" t="str">
        <x:v>Texas</x:v>
      </x:c>
      <x:c r="C435" s="70" t="n">
        <x:v>2024</x:v>
      </x:c>
      <x:c r="D435" s="61" t="n">
        <x:v>5.92</x:v>
      </x:c>
      <x:c r="E435" s="61" t="n">
        <x:v>5.92</x:v>
      </x:c>
    </x:row>
    <x:row r="436">
      <x:c r="A436" s="70" t="str">
        <x:v>US-49</x:v>
      </x:c>
      <x:c r="B436" s="70" t="str">
        <x:v>Utah</x:v>
      </x:c>
      <x:c r="C436" s="70" t="n">
        <x:v>2015</x:v>
      </x:c>
      <x:c r="D436" s="61" t="n">
        <x:v>2.01</x:v>
      </x:c>
      <x:c r="E436" s="61" t="n">
        <x:v>1.92</x:v>
      </x:c>
    </x:row>
    <x:row r="437">
      <x:c r="A437" s="70" t="str">
        <x:v>US-49</x:v>
      </x:c>
      <x:c r="B437" s="70" t="str">
        <x:v>Utah</x:v>
      </x:c>
      <x:c r="C437" s="70" t="n">
        <x:v>2016</x:v>
      </x:c>
      <x:c r="D437" s="61" t="n">
        <x:v>2.63</x:v>
      </x:c>
      <x:c r="E437" s="61" t="n">
        <x:v>2.53</x:v>
      </x:c>
    </x:row>
    <x:row r="438">
      <x:c r="A438" s="70" t="str">
        <x:v>US-49</x:v>
      </x:c>
      <x:c r="B438" s="70" t="str">
        <x:v>Utah</x:v>
      </x:c>
      <x:c r="C438" s="70" t="n">
        <x:v>2017</x:v>
      </x:c>
      <x:c r="D438" s="61" t="n">
        <x:v>2.55</x:v>
      </x:c>
      <x:c r="E438" s="61" t="n">
        <x:v>2.58</x:v>
      </x:c>
    </x:row>
    <x:row r="439">
      <x:c r="A439" s="70" t="str">
        <x:v>US-49</x:v>
      </x:c>
      <x:c r="B439" s="70" t="str">
        <x:v>Utah</x:v>
      </x:c>
      <x:c r="C439" s="70" t="n">
        <x:v>2018</x:v>
      </x:c>
      <x:c r="D439" s="61" t="n">
        <x:v>2.12</x:v>
      </x:c>
      <x:c r="E439" s="61" t="n">
        <x:v>2.21</x:v>
      </x:c>
    </x:row>
    <x:row r="440">
      <x:c r="A440" s="70" t="str">
        <x:v>US-49</x:v>
      </x:c>
      <x:c r="B440" s="70" t="str">
        <x:v>Utah</x:v>
      </x:c>
      <x:c r="C440" s="70" t="n">
        <x:v>2019</x:v>
      </x:c>
      <x:c r="D440" s="61" t="n">
        <x:v>2.56</x:v>
      </x:c>
      <x:c r="E440" s="61" t="n">
        <x:v>2.57</x:v>
      </x:c>
    </x:row>
    <x:row r="441">
      <x:c r="A441" s="70" t="str">
        <x:v>US-49</x:v>
      </x:c>
      <x:c r="B441" s="70" t="str">
        <x:v>Utah</x:v>
      </x:c>
      <x:c r="C441" s="70" t="n">
        <x:v>2020</x:v>
      </x:c>
      <x:c r="D441" s="61" t="n">
        <x:v>2.89</x:v>
      </x:c>
      <x:c r="E441" s="61" t="n">
        <x:v>2.89</x:v>
      </x:c>
    </x:row>
    <x:row r="442">
      <x:c r="A442" s="70" t="str">
        <x:v>US-49</x:v>
      </x:c>
      <x:c r="B442" s="70" t="str">
        <x:v>Utah</x:v>
      </x:c>
      <x:c r="C442" s="70" t="n">
        <x:v>2021</x:v>
      </x:c>
      <x:c r="D442" s="61" t="n">
        <x:v>2.73</x:v>
      </x:c>
      <x:c r="E442" s="61" t="n">
        <x:v>2.68</x:v>
      </x:c>
    </x:row>
    <x:row r="443">
      <x:c r="A443" s="70" t="str">
        <x:v>US-49</x:v>
      </x:c>
      <x:c r="B443" s="70" t="str">
        <x:v>Utah</x:v>
      </x:c>
      <x:c r="C443" s="70" t="n">
        <x:v>2022</x:v>
      </x:c>
      <x:c r="D443" s="61" t="n">
        <x:v>2.12</x:v>
      </x:c>
      <x:c r="E443" s="61" t="n">
        <x:v>2.16</x:v>
      </x:c>
    </x:row>
    <x:row r="444">
      <x:c r="A444" s="70" t="str">
        <x:v>US-49</x:v>
      </x:c>
      <x:c r="B444" s="70" t="str">
        <x:v>Utah</x:v>
      </x:c>
      <x:c r="C444" s="70" t="n">
        <x:v>2023</x:v>
      </x:c>
      <x:c r="D444" s="61" t="n">
        <x:v>2.21</x:v>
      </x:c>
      <x:c r="E444" s="61" t="n">
        <x:v>2.21</x:v>
      </x:c>
    </x:row>
    <x:row r="445">
      <x:c r="A445" s="70" t="str">
        <x:v>US-49</x:v>
      </x:c>
      <x:c r="B445" s="70" t="str">
        <x:v>Utah</x:v>
      </x:c>
      <x:c r="C445" s="70" t="n">
        <x:v>2024</x:v>
      </x:c>
      <x:c r="D445" s="61" t="n">
        <x:v>2.34</x:v>
      </x:c>
      <x:c r="E445" s="61" t="n">
        <x:v>2.29</x:v>
      </x:c>
    </x:row>
    <x:row r="446">
      <x:c r="A446" s="70" t="str">
        <x:v>US-50</x:v>
      </x:c>
      <x:c r="B446" s="70" t="str">
        <x:v>Vermont</x:v>
      </x:c>
      <x:c r="C446" s="70" t="n">
        <x:v>2015</x:v>
      </x:c>
      <x:c r="D446" s="61" t="n">
        <x:v>2.56</x:v>
      </x:c>
      <x:c r="E446" s="61" t="n">
        <x:v>2.67</x:v>
      </x:c>
    </x:row>
    <x:row r="447">
      <x:c r="A447" s="70" t="str">
        <x:v>US-50</x:v>
      </x:c>
      <x:c r="B447" s="70" t="str">
        <x:v>Vermont</x:v>
      </x:c>
      <x:c r="C447" s="70" t="n">
        <x:v>2016</x:v>
      </x:c>
      <x:c r="D447" s="61" t="n">
        <x:v>1.76</x:v>
      </x:c>
      <x:c r="E447" s="61" t="n">
        <x:v>1.9</x:v>
      </x:c>
    </x:row>
    <x:row r="448">
      <x:c r="A448" s="70" t="str">
        <x:v>US-50</x:v>
      </x:c>
      <x:c r="B448" s="70" t="str">
        <x:v>Vermont</x:v>
      </x:c>
      <x:c r="C448" s="70" t="n">
        <x:v>2017</x:v>
      </x:c>
      <x:c r="D448" s="61" t="n">
        <x:v>2.4</x:v>
      </x:c>
      <x:c r="E448" s="61" t="n">
        <x:v>2.47</x:v>
      </x:c>
    </x:row>
    <x:row r="449">
      <x:c r="A449" s="70" t="str">
        <x:v>US-50</x:v>
      </x:c>
      <x:c r="B449" s="70" t="str">
        <x:v>Vermont</x:v>
      </x:c>
      <x:c r="C449" s="70" t="n">
        <x:v>2018</x:v>
      </x:c>
      <x:c r="D449" s="61" t="n">
        <x:v>2.24</x:v>
      </x:c>
      <x:c r="E449" s="61" t="n">
        <x:v>2.45</x:v>
      </x:c>
    </x:row>
    <x:row r="450">
      <x:c r="A450" s="70" t="str">
        <x:v>US-50</x:v>
      </x:c>
      <x:c r="B450" s="70" t="str">
        <x:v>Vermont</x:v>
      </x:c>
      <x:c r="C450" s="70" t="n">
        <x:v>2019</x:v>
      </x:c>
      <x:c r="D450" s="61" t="n">
        <x:v>1.76</x:v>
      </x:c>
      <x:c r="E450" s="61" t="n">
        <x:v>1.93</x:v>
      </x:c>
    </x:row>
    <x:row r="451">
      <x:c r="A451" s="70" t="str">
        <x:v>US-50</x:v>
      </x:c>
      <x:c r="B451" s="70" t="str">
        <x:v>Vermont</x:v>
      </x:c>
      <x:c r="C451" s="70" t="n">
        <x:v>2020</x:v>
      </x:c>
      <x:c r="D451" s="61" t="n">
        <x:v>2.18</x:v>
      </x:c>
      <x:c r="E451" s="61" t="n">
        <x:v>2.62</x:v>
      </x:c>
    </x:row>
    <x:row r="452">
      <x:c r="A452" s="70" t="str">
        <x:v>US-50</x:v>
      </x:c>
      <x:c r="B452" s="70" t="str">
        <x:v>Vermont</x:v>
      </x:c>
      <x:c r="C452" s="70" t="n">
        <x:v>2021</x:v>
      </x:c>
      <x:c r="D452" s="61" t="n">
        <x:v>1.55</x:v>
      </x:c>
      <x:c r="E452" s="61" t="n">
        <x:v>1.56</x:v>
      </x:c>
    </x:row>
    <x:row r="453">
      <x:c r="A453" s="70" t="str">
        <x:v>US-50</x:v>
      </x:c>
      <x:c r="B453" s="70" t="str">
        <x:v>Vermont</x:v>
      </x:c>
      <x:c r="C453" s="70" t="n">
        <x:v>2022</x:v>
      </x:c>
      <x:c r="D453" s="61" t="n">
        <x:v>2.78</x:v>
      </x:c>
      <x:c r="E453" s="61" t="n">
        <x:v>3.09</x:v>
      </x:c>
    </x:row>
    <x:row r="454">
      <x:c r="A454" s="70" t="str">
        <x:v>US-50</x:v>
      </x:c>
      <x:c r="B454" s="70" t="str">
        <x:v>Vermont</x:v>
      </x:c>
      <x:c r="C454" s="70" t="n">
        <x:v>2023</x:v>
      </x:c>
      <x:c r="D454" s="61" t="n">
        <x:v>3.24</x:v>
      </x:c>
      <x:c r="E454" s="61" t="n">
        <x:v>3.41</x:v>
      </x:c>
    </x:row>
    <x:row r="455">
      <x:c r="A455" s="70" t="str">
        <x:v>US-50</x:v>
      </x:c>
      <x:c r="B455" s="70" t="str">
        <x:v>Vermont</x:v>
      </x:c>
      <x:c r="C455" s="70" t="n">
        <x:v>2024</x:v>
      </x:c>
      <x:c r="D455" s="61" t="n">
        <x:v>3.24</x:v>
      </x:c>
      <x:c r="E455" s="61" t="n">
        <x:v>3.19</x:v>
      </x:c>
    </x:row>
    <x:row r="456">
      <x:c r="A456" s="70" t="str">
        <x:v>US-51</x:v>
      </x:c>
      <x:c r="B456" s="70" t="str">
        <x:v>Virginia</x:v>
      </x:c>
      <x:c r="C456" s="70" t="n">
        <x:v>2015</x:v>
      </x:c>
      <x:c r="D456" s="61" t="n">
        <x:v>4.47</x:v>
      </x:c>
      <x:c r="E456" s="61" t="n">
        <x:v>4.46</x:v>
      </x:c>
    </x:row>
    <x:row r="457">
      <x:c r="A457" s="70" t="str">
        <x:v>US-51</x:v>
      </x:c>
      <x:c r="B457" s="70" t="str">
        <x:v>Virginia</x:v>
      </x:c>
      <x:c r="C457" s="70" t="n">
        <x:v>2016</x:v>
      </x:c>
      <x:c r="D457" s="61" t="n">
        <x:v>5.41</x:v>
      </x:c>
      <x:c r="E457" s="61" t="n">
        <x:v>5.48</x:v>
      </x:c>
    </x:row>
    <x:row r="458">
      <x:c r="A458" s="70" t="str">
        <x:v>US-51</x:v>
      </x:c>
      <x:c r="B458" s="70" t="str">
        <x:v>Virginia</x:v>
      </x:c>
      <x:c r="C458" s="70" t="n">
        <x:v>2017</x:v>
      </x:c>
      <x:c r="D458" s="61" t="n">
        <x:v>5.37</x:v>
      </x:c>
      <x:c r="E458" s="61" t="n">
        <x:v>5.36</x:v>
      </x:c>
    </x:row>
    <x:row r="459">
      <x:c r="A459" s="70" t="str">
        <x:v>US-51</x:v>
      </x:c>
      <x:c r="B459" s="70" t="str">
        <x:v>Virginia</x:v>
      </x:c>
      <x:c r="C459" s="70" t="n">
        <x:v>2018</x:v>
      </x:c>
      <x:c r="D459" s="61" t="n">
        <x:v>4.99</x:v>
      </x:c>
      <x:c r="E459" s="61" t="n">
        <x:v>5.09</x:v>
      </x:c>
    </x:row>
    <x:row r="460">
      <x:c r="A460" s="70" t="str">
        <x:v>US-51</x:v>
      </x:c>
      <x:c r="B460" s="70" t="str">
        <x:v>Virginia</x:v>
      </x:c>
      <x:c r="C460" s="70" t="n">
        <x:v>2019</x:v>
      </x:c>
      <x:c r="D460" s="61" t="n">
        <x:v>5.1</x:v>
      </x:c>
      <x:c r="E460" s="61" t="n">
        <x:v>5.24</x:v>
      </x:c>
    </x:row>
    <x:row r="461">
      <x:c r="A461" s="70" t="str">
        <x:v>US-51</x:v>
      </x:c>
      <x:c r="B461" s="70" t="str">
        <x:v>Virginia</x:v>
      </x:c>
      <x:c r="C461" s="70" t="n">
        <x:v>2020</x:v>
      </x:c>
      <x:c r="D461" s="61" t="n">
        <x:v>6.15</x:v>
      </x:c>
      <x:c r="E461" s="61" t="n">
        <x:v>6.32</x:v>
      </x:c>
    </x:row>
    <x:row r="462">
      <x:c r="A462" s="70" t="str">
        <x:v>US-51</x:v>
      </x:c>
      <x:c r="B462" s="70" t="str">
        <x:v>Virginia</x:v>
      </x:c>
      <x:c r="C462" s="70" t="n">
        <x:v>2021</x:v>
      </x:c>
      <x:c r="D462" s="61" t="n">
        <x:v>7</x:v>
      </x:c>
      <x:c r="E462" s="61" t="n">
        <x:v>7.2</x:v>
      </x:c>
    </x:row>
    <x:row r="463">
      <x:c r="A463" s="70" t="str">
        <x:v>US-51</x:v>
      </x:c>
      <x:c r="B463" s="70" t="str">
        <x:v>Virginia</x:v>
      </x:c>
      <x:c r="C463" s="70" t="n">
        <x:v>2022</x:v>
      </x:c>
      <x:c r="D463" s="61" t="n">
        <x:v>7.52</x:v>
      </x:c>
      <x:c r="E463" s="61" t="n">
        <x:v>7.81</x:v>
      </x:c>
    </x:row>
    <x:row r="464">
      <x:c r="A464" s="70" t="str">
        <x:v>US-51</x:v>
      </x:c>
      <x:c r="B464" s="70" t="str">
        <x:v>Virginia</x:v>
      </x:c>
      <x:c r="C464" s="70" t="n">
        <x:v>2023</x:v>
      </x:c>
      <x:c r="D464" s="61" t="n">
        <x:v>6.59</x:v>
      </x:c>
      <x:c r="E464" s="61" t="n">
        <x:v>6.72</x:v>
      </x:c>
    </x:row>
    <x:row r="465">
      <x:c r="A465" s="70" t="str">
        <x:v>US-51</x:v>
      </x:c>
      <x:c r="B465" s="70" t="str">
        <x:v>Virginia</x:v>
      </x:c>
      <x:c r="C465" s="70" t="n">
        <x:v>2024</x:v>
      </x:c>
      <x:c r="D465" s="61" t="n">
        <x:v>5.41</x:v>
      </x:c>
      <x:c r="E465" s="61" t="n">
        <x:v>5.64</x:v>
      </x:c>
    </x:row>
    <x:row r="466">
      <x:c r="A466" s="70" t="str">
        <x:v>US-53</x:v>
      </x:c>
      <x:c r="B466" s="70" t="str">
        <x:v>Washington</x:v>
      </x:c>
      <x:c r="C466" s="70" t="n">
        <x:v>2015</x:v>
      </x:c>
      <x:c r="D466" s="61" t="n">
        <x:v>3.34</x:v>
      </x:c>
      <x:c r="E466" s="61" t="n">
        <x:v>3.37</x:v>
      </x:c>
    </x:row>
    <x:row r="467">
      <x:c r="A467" s="70" t="str">
        <x:v>US-53</x:v>
      </x:c>
      <x:c r="B467" s="70" t="str">
        <x:v>Washington</x:v>
      </x:c>
      <x:c r="C467" s="70" t="n">
        <x:v>2016</x:v>
      </x:c>
      <x:c r="D467" s="61" t="n">
        <x:v>2.96</x:v>
      </x:c>
      <x:c r="E467" s="61" t="n">
        <x:v>2.92</x:v>
      </x:c>
    </x:row>
    <x:row r="468">
      <x:c r="A468" s="70" t="str">
        <x:v>US-53</x:v>
      </x:c>
      <x:c r="B468" s="70" t="str">
        <x:v>Washington</x:v>
      </x:c>
      <x:c r="C468" s="70" t="n">
        <x:v>2017</x:v>
      </x:c>
      <x:c r="D468" s="61" t="n">
        <x:v>3.58</x:v>
      </x:c>
      <x:c r="E468" s="61" t="n">
        <x:v>3.6</x:v>
      </x:c>
    </x:row>
    <x:row r="469">
      <x:c r="A469" s="70" t="str">
        <x:v>US-53</x:v>
      </x:c>
      <x:c r="B469" s="70" t="str">
        <x:v>Washington</x:v>
      </x:c>
      <x:c r="C469" s="70" t="n">
        <x:v>2018</x:v>
      </x:c>
      <x:c r="D469" s="61" t="n">
        <x:v>3.65</x:v>
      </x:c>
      <x:c r="E469" s="61" t="n">
        <x:v>3.69</x:v>
      </x:c>
    </x:row>
    <x:row r="470">
      <x:c r="A470" s="70" t="str">
        <x:v>US-53</x:v>
      </x:c>
      <x:c r="B470" s="70" t="str">
        <x:v>Washington</x:v>
      </x:c>
      <x:c r="C470" s="70" t="n">
        <x:v>2019</x:v>
      </x:c>
      <x:c r="D470" s="61" t="n">
        <x:v>3.17</x:v>
      </x:c>
      <x:c r="E470" s="61" t="n">
        <x:v>3.2</x:v>
      </x:c>
    </x:row>
    <x:row r="471">
      <x:c r="A471" s="70" t="str">
        <x:v>US-53</x:v>
      </x:c>
      <x:c r="B471" s="70" t="str">
        <x:v>Washington</x:v>
      </x:c>
      <x:c r="C471" s="70" t="n">
        <x:v>2020</x:v>
      </x:c>
      <x:c r="D471" s="61" t="n">
        <x:v>4.17</x:v>
      </x:c>
      <x:c r="E471" s="61" t="n">
        <x:v>4.2</x:v>
      </x:c>
    </x:row>
    <x:row r="472">
      <x:c r="A472" s="70" t="str">
        <x:v>US-53</x:v>
      </x:c>
      <x:c r="B472" s="70" t="str">
        <x:v>Washington</x:v>
      </x:c>
      <x:c r="C472" s="70" t="n">
        <x:v>2021</x:v>
      </x:c>
      <x:c r="D472" s="61" t="n">
        <x:v>4.47</x:v>
      </x:c>
      <x:c r="E472" s="61" t="n">
        <x:v>4.55</x:v>
      </x:c>
    </x:row>
    <x:row r="473">
      <x:c r="A473" s="70" t="str">
        <x:v>US-53</x:v>
      </x:c>
      <x:c r="B473" s="70" t="str">
        <x:v>Washington</x:v>
      </x:c>
      <x:c r="C473" s="70" t="n">
        <x:v>2022</x:v>
      </x:c>
      <x:c r="D473" s="61" t="n">
        <x:v>5.44</x:v>
      </x:c>
      <x:c r="E473" s="61" t="n">
        <x:v>5.46</x:v>
      </x:c>
    </x:row>
    <x:row r="474">
      <x:c r="A474" s="70" t="str">
        <x:v>US-53</x:v>
      </x:c>
      <x:c r="B474" s="70" t="str">
        <x:v>Washington</x:v>
      </x:c>
      <x:c r="C474" s="70" t="n">
        <x:v>2023</x:v>
      </x:c>
      <x:c r="D474" s="61" t="n">
        <x:v>5.27</x:v>
      </x:c>
      <x:c r="E474" s="61" t="n">
        <x:v>5.31</x:v>
      </x:c>
    </x:row>
    <x:row r="475">
      <x:c r="A475" s="70" t="str">
        <x:v>US-53</x:v>
      </x:c>
      <x:c r="B475" s="70" t="str">
        <x:v>Washington</x:v>
      </x:c>
      <x:c r="C475" s="70" t="n">
        <x:v>2024</x:v>
      </x:c>
      <x:c r="D475" s="61" t="n">
        <x:v>4.32</x:v>
      </x:c>
      <x:c r="E475" s="61" t="n">
        <x:v>4.41</x:v>
      </x:c>
    </x:row>
    <x:row r="476">
      <x:c r="A476" s="70" t="str">
        <x:v>US-54</x:v>
      </x:c>
      <x:c r="B476" s="70" t="str">
        <x:v>West Virginia</x:v>
      </x:c>
      <x:c r="C476" s="70" t="n">
        <x:v>2015</x:v>
      </x:c>
      <x:c r="D476" s="61" t="n">
        <x:v>4.34</x:v>
      </x:c>
      <x:c r="E476" s="61" t="n">
        <x:v>4.52</x:v>
      </x:c>
    </x:row>
    <x:row r="477">
      <x:c r="A477" s="70" t="str">
        <x:v>US-54</x:v>
      </x:c>
      <x:c r="B477" s="70" t="str">
        <x:v>West Virginia</x:v>
      </x:c>
      <x:c r="C477" s="70" t="n">
        <x:v>2016</x:v>
      </x:c>
      <x:c r="D477" s="61" t="n">
        <x:v>5.89</x:v>
      </x:c>
      <x:c r="E477" s="61" t="n">
        <x:v>6.27</x:v>
      </x:c>
    </x:row>
    <x:row r="478">
      <x:c r="A478" s="70" t="str">
        <x:v>US-54</x:v>
      </x:c>
      <x:c r="B478" s="70" t="str">
        <x:v>West Virginia</x:v>
      </x:c>
      <x:c r="C478" s="70" t="n">
        <x:v>2017</x:v>
      </x:c>
      <x:c r="D478" s="61" t="n">
        <x:v>6.16</x:v>
      </x:c>
      <x:c r="E478" s="61" t="n">
        <x:v>6.46</x:v>
      </x:c>
    </x:row>
    <x:row r="479">
      <x:c r="A479" s="70" t="str">
        <x:v>US-54</x:v>
      </x:c>
      <x:c r="B479" s="70" t="str">
        <x:v>West Virginia</x:v>
      </x:c>
      <x:c r="C479" s="70" t="n">
        <x:v>2018</x:v>
      </x:c>
      <x:c r="D479" s="61" t="n">
        <x:v>5.37</x:v>
      </x:c>
      <x:c r="E479" s="61" t="n">
        <x:v>5.77</x:v>
      </x:c>
    </x:row>
    <x:row r="480">
      <x:c r="A480" s="70" t="str">
        <x:v>US-54</x:v>
      </x:c>
      <x:c r="B480" s="70" t="str">
        <x:v>West Virginia</x:v>
      </x:c>
      <x:c r="C480" s="70" t="n">
        <x:v>2019</x:v>
      </x:c>
      <x:c r="D480" s="61" t="n">
        <x:v>5.13</x:v>
      </x:c>
      <x:c r="E480" s="61" t="n">
        <x:v>5.65</x:v>
      </x:c>
    </x:row>
    <x:row r="481">
      <x:c r="A481" s="70" t="str">
        <x:v>US-54</x:v>
      </x:c>
      <x:c r="B481" s="70" t="str">
        <x:v>West Virginia</x:v>
      </x:c>
      <x:c r="C481" s="70" t="n">
        <x:v>2020</x:v>
      </x:c>
      <x:c r="D481" s="61" t="n">
        <x:v>6.36</x:v>
      </x:c>
      <x:c r="E481" s="61" t="n">
        <x:v>6.98</x:v>
      </x:c>
    </x:row>
    <x:row r="482">
      <x:c r="A482" s="70" t="str">
        <x:v>US-54</x:v>
      </x:c>
      <x:c r="B482" s="70" t="str">
        <x:v>West Virginia</x:v>
      </x:c>
      <x:c r="C482" s="70" t="n">
        <x:v>2021</x:v>
      </x:c>
      <x:c r="D482" s="61" t="n">
        <x:v>6.38</x:v>
      </x:c>
      <x:c r="E482" s="61" t="n">
        <x:v>6.86</x:v>
      </x:c>
    </x:row>
    <x:row r="483">
      <x:c r="A483" s="70" t="str">
        <x:v>US-54</x:v>
      </x:c>
      <x:c r="B483" s="70" t="str">
        <x:v>West Virginia</x:v>
      </x:c>
      <x:c r="C483" s="70" t="n">
        <x:v>2022</x:v>
      </x:c>
      <x:c r="D483" s="61" t="n">
        <x:v>5.92</x:v>
      </x:c>
      <x:c r="E483" s="61" t="n">
        <x:v>6.28</x:v>
      </x:c>
    </x:row>
    <x:row r="484">
      <x:c r="A484" s="70" t="str">
        <x:v>US-54</x:v>
      </x:c>
      <x:c r="B484" s="70" t="str">
        <x:v>West Virginia</x:v>
      </x:c>
      <x:c r="C484" s="70" t="n">
        <x:v>2023</x:v>
      </x:c>
      <x:c r="D484" s="61" t="n">
        <x:v>4.97</x:v>
      </x:c>
      <x:c r="E484" s="61" t="n">
        <x:v>5.34</x:v>
      </x:c>
    </x:row>
    <x:row r="485">
      <x:c r="A485" s="70" t="str">
        <x:v>US-54</x:v>
      </x:c>
      <x:c r="B485" s="70" t="str">
        <x:v>West Virginia</x:v>
      </x:c>
      <x:c r="C485" s="70" t="n">
        <x:v>2024</x:v>
      </x:c>
      <x:c r="D485" s="61" t="n">
        <x:v>5.48</x:v>
      </x:c>
      <x:c r="E485" s="61" t="n">
        <x:v>5.84</x:v>
      </x:c>
    </x:row>
    <x:row r="486">
      <x:c r="A486" s="70" t="str">
        <x:v>US-55</x:v>
      </x:c>
      <x:c r="B486" s="70" t="str">
        <x:v>Wisconsin</x:v>
      </x:c>
      <x:c r="C486" s="70" t="n">
        <x:v>2015</x:v>
      </x:c>
      <x:c r="D486" s="61" t="n">
        <x:v>4.22</x:v>
      </x:c>
      <x:c r="E486" s="61" t="n">
        <x:v>4.45</x:v>
      </x:c>
    </x:row>
    <x:row r="487">
      <x:c r="A487" s="70" t="str">
        <x:v>US-55</x:v>
      </x:c>
      <x:c r="B487" s="70" t="str">
        <x:v>Wisconsin</x:v>
      </x:c>
      <x:c r="C487" s="70" t="n">
        <x:v>2016</x:v>
      </x:c>
      <x:c r="D487" s="61" t="n">
        <x:v>4.43</x:v>
      </x:c>
      <x:c r="E487" s="61" t="n">
        <x:v>4.75</x:v>
      </x:c>
    </x:row>
    <x:row r="488">
      <x:c r="A488" s="70" t="str">
        <x:v>US-55</x:v>
      </x:c>
      <x:c r="B488" s="70" t="str">
        <x:v>Wisconsin</x:v>
      </x:c>
      <x:c r="C488" s="70" t="n">
        <x:v>2017</x:v>
      </x:c>
      <x:c r="D488" s="61" t="n">
        <x:v>3.49</x:v>
      </x:c>
      <x:c r="E488" s="61" t="n">
        <x:v>3.7</x:v>
      </x:c>
    </x:row>
    <x:row r="489">
      <x:c r="A489" s="70" t="str">
        <x:v>US-55</x:v>
      </x:c>
      <x:c r="B489" s="70" t="str">
        <x:v>Wisconsin</x:v>
      </x:c>
      <x:c r="C489" s="70" t="n">
        <x:v>2018</x:v>
      </x:c>
      <x:c r="D489" s="61" t="n">
        <x:v>3.51</x:v>
      </x:c>
      <x:c r="E489" s="61" t="n">
        <x:v>3.88</x:v>
      </x:c>
    </x:row>
    <x:row r="490">
      <x:c r="A490" s="70" t="str">
        <x:v>US-55</x:v>
      </x:c>
      <x:c r="B490" s="70" t="str">
        <x:v>Wisconsin</x:v>
      </x:c>
      <x:c r="C490" s="70" t="n">
        <x:v>2019</x:v>
      </x:c>
      <x:c r="D490" s="61" t="n">
        <x:v>3.88</x:v>
      </x:c>
      <x:c r="E490" s="61" t="n">
        <x:v>4.15</x:v>
      </x:c>
    </x:row>
    <x:row r="491">
      <x:c r="A491" s="70" t="str">
        <x:v>US-55</x:v>
      </x:c>
      <x:c r="B491" s="70" t="str">
        <x:v>Wisconsin</x:v>
      </x:c>
      <x:c r="C491" s="70" t="n">
        <x:v>2020</x:v>
      </x:c>
      <x:c r="D491" s="61" t="n">
        <x:v>5.66</x:v>
      </x:c>
      <x:c r="E491" s="61" t="n">
        <x:v>5.96</x:v>
      </x:c>
    </x:row>
    <x:row r="492">
      <x:c r="A492" s="70" t="str">
        <x:v>US-55</x:v>
      </x:c>
      <x:c r="B492" s="70" t="str">
        <x:v>Wisconsin</x:v>
      </x:c>
      <x:c r="C492" s="70" t="n">
        <x:v>2021</x:v>
      </x:c>
      <x:c r="D492" s="61" t="n">
        <x:v>5.92</x:v>
      </x:c>
      <x:c r="E492" s="61" t="n">
        <x:v>6.35</x:v>
      </x:c>
    </x:row>
    <x:row r="493">
      <x:c r="A493" s="70" t="str">
        <x:v>US-55</x:v>
      </x:c>
      <x:c r="B493" s="70" t="str">
        <x:v>Wisconsin</x:v>
      </x:c>
      <x:c r="C493" s="70" t="n">
        <x:v>2022</x:v>
      </x:c>
      <x:c r="D493" s="61" t="n">
        <x:v>5.54</x:v>
      </x:c>
      <x:c r="E493" s="61" t="n">
        <x:v>6.02</x:v>
      </x:c>
    </x:row>
    <x:row r="494">
      <x:c r="A494" s="70" t="str">
        <x:v>US-55</x:v>
      </x:c>
      <x:c r="B494" s="70" t="str">
        <x:v>Wisconsin</x:v>
      </x:c>
      <x:c r="C494" s="70" t="n">
        <x:v>2023</x:v>
      </x:c>
      <x:c r="D494" s="61" t="n">
        <x:v>4.79</x:v>
      </x:c>
      <x:c r="E494" s="61" t="n">
        <x:v>5.11</x:v>
      </x:c>
    </x:row>
    <x:row r="495">
      <x:c r="A495" s="70" t="str">
        <x:v>US-55</x:v>
      </x:c>
      <x:c r="B495" s="70" t="str">
        <x:v>Wisconsin</x:v>
      </x:c>
      <x:c r="C495" s="70" t="n">
        <x:v>2024</x:v>
      </x:c>
      <x:c r="D495" s="61" t="n">
        <x:v>4.46</x:v>
      </x:c>
      <x:c r="E495" s="61" t="n">
        <x:v>4.8</x:v>
      </x:c>
    </x:row>
    <x:row r="496">
      <x:c r="A496" s="70" t="str">
        <x:v>US-56</x:v>
      </x:c>
      <x:c r="B496" s="70" t="str">
        <x:v>Wyoming</x:v>
      </x:c>
      <x:c r="C496" s="70" t="n">
        <x:v>2015</x:v>
      </x:c>
      <x:c r="D496" s="61" t="n">
        <x:v>2.9</x:v>
      </x:c>
      <x:c r="E496" s="61" t="n">
        <x:v>2.89</x:v>
      </x:c>
    </x:row>
    <x:row r="497">
      <x:c r="A497" s="70" t="str">
        <x:v>US-56</x:v>
      </x:c>
      <x:c r="B497" s="70" t="str">
        <x:v>Wyoming</x:v>
      </x:c>
      <x:c r="C497" s="70" t="n">
        <x:v>2016</x:v>
      </x:c>
      <x:c r="D497" s="61" t="n">
        <x:v>2.91</x:v>
      </x:c>
      <x:c r="E497" s="61" t="n">
        <x:v>3.05</x:v>
      </x:c>
    </x:row>
    <x:row r="498">
      <x:c r="A498" s="70" t="str">
        <x:v>US-56</x:v>
      </x:c>
      <x:c r="B498" s="70" t="str">
        <x:v>Wyoming</x:v>
      </x:c>
      <x:c r="C498" s="70" t="n">
        <x:v>2017</x:v>
      </x:c>
      <x:c r="D498" s="61" t="n">
        <x:v>3.28</x:v>
      </x:c>
      <x:c r="E498" s="61" t="n">
        <x:v>3.6</x:v>
      </x:c>
    </x:row>
    <x:row r="499">
      <x:c r="A499" s="70" t="str">
        <x:v>US-56</x:v>
      </x:c>
      <x:c r="B499" s="70" t="str">
        <x:v>Wyoming</x:v>
      </x:c>
      <x:c r="C499" s="70" t="n">
        <x:v>2018</x:v>
      </x:c>
      <x:c r="D499" s="61" t="n">
        <x:v>3.8</x:v>
      </x:c>
      <x:c r="E499" s="61" t="n">
        <x:v>4.18</x:v>
      </x:c>
    </x:row>
    <x:row r="500">
      <x:c r="A500" s="70" t="str">
        <x:v>US-56</x:v>
      </x:c>
      <x:c r="B500" s="70" t="str">
        <x:v>Wyoming</x:v>
      </x:c>
      <x:c r="C500" s="70" t="n">
        <x:v>2019</x:v>
      </x:c>
      <x:c r="D500" s="61" t="n">
        <x:v>4.31</x:v>
      </x:c>
      <x:c r="E500" s="61" t="n">
        <x:v>4.47</x:v>
      </x:c>
    </x:row>
    <x:row r="501">
      <x:c r="A501" s="70" t="str">
        <x:v>US-56</x:v>
      </x:c>
      <x:c r="B501" s="70" t="str">
        <x:v>Wyoming</x:v>
      </x:c>
      <x:c r="C501" s="70" t="n">
        <x:v>2020</x:v>
      </x:c>
      <x:c r="D501" s="61" t="n">
        <x:v>4.33</x:v>
      </x:c>
      <x:c r="E501" s="61" t="n">
        <x:v>4.8</x:v>
      </x:c>
    </x:row>
    <x:row r="502">
      <x:c r="A502" s="70" t="str">
        <x:v>US-56</x:v>
      </x:c>
      <x:c r="B502" s="70" t="str">
        <x:v>Wyoming</x:v>
      </x:c>
      <x:c r="C502" s="70" t="n">
        <x:v>2021</x:v>
      </x:c>
      <x:c r="D502" s="61" t="n">
        <x:v>2.76</x:v>
      </x:c>
      <x:c r="E502" s="61" t="n">
        <x:v>3.06</x:v>
      </x:c>
    </x:row>
    <x:row r="503">
      <x:c r="A503" s="70" t="str">
        <x:v>US-56</x:v>
      </x:c>
      <x:c r="B503" s="70" t="str">
        <x:v>Wyoming</x:v>
      </x:c>
      <x:c r="C503" s="70" t="n">
        <x:v>2022</x:v>
      </x:c>
      <x:c r="D503" s="61" t="n">
        <x:v>2.92</x:v>
      </x:c>
      <x:c r="E503" s="61" t="n">
        <x:v>3.14</x:v>
      </x:c>
    </x:row>
    <x:row r="504">
      <x:c r="A504" s="70" t="str">
        <x:v>US-56</x:v>
      </x:c>
      <x:c r="B504" s="70" t="str">
        <x:v>Wyoming</x:v>
      </x:c>
      <x:c r="C504" s="70" t="n">
        <x:v>2023</x:v>
      </x:c>
      <x:c r="D504" s="61" t="n">
        <x:v>3.08</x:v>
      </x:c>
      <x:c r="E504" s="61" t="n">
        <x:v>3.23</x:v>
      </x:c>
    </x:row>
    <x:row r="505">
      <x:c r="A505" s="70" t="str">
        <x:v>US-56</x:v>
      </x:c>
      <x:c r="B505" s="70" t="str">
        <x:v>Wyoming</x:v>
      </x:c>
      <x:c r="C505" s="70" t="n">
        <x:v>2024</x:v>
      </x:c>
      <x:c r="D505" s="61" t="n">
        <x:v>4.6</x:v>
      </x:c>
      <x:c r="E505" s="61" t="n">
        <x:v>4.82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21e64fcadb3245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National homicide mortality trend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4" t="str">
        <x:v>United States, all ages, all sexes, all races and ethnicities; D.C. is included in the national total.</x:v>
      </x:c>
    </x:row>
    <x:row r="5">
      <x:c r="A5" s="69" t="str">
        <x:v>Year</x:v>
      </x:c>
      <x:c r="B5" s="69" t="str">
        <x:v>Deaths</x:v>
      </x:c>
      <x:c r="C5" s="69" t="str">
        <x:v>Population</x:v>
      </x:c>
      <x:c r="D5" s="69" t="str">
        <x:v>Crude rate</x:v>
      </x:c>
      <x:c r="E5" s="69" t="str">
        <x:v>Age-adjusted rate</x:v>
      </x:c>
      <x:c r="F5" s="69" t="str">
        <x:v>YoY crude change</x:v>
      </x:c>
    </x:row>
    <x:row r="6">
      <x:c r="A6" s="70" t="n">
        <x:v>2015</x:v>
      </x:c>
      <x:c r="B6" s="72" t="n">
        <x:v>17793</x:v>
      </x:c>
      <x:c r="C6" s="72" t="n">
        <x:v>320738994</x:v>
      </x:c>
      <x:c r="D6" s="61" t="n">
        <x:v>5.55</x:v>
      </x:c>
      <x:c r="E6" s="61" t="n">
        <x:v>5.64</x:v>
      </x:c>
      <x:c r="F6" s="62"/>
    </x:row>
    <x:row r="7">
      <x:c r="A7" s="70" t="n">
        <x:v>2016</x:v>
      </x:c>
      <x:c r="B7" s="72" t="n">
        <x:v>19362</x:v>
      </x:c>
      <x:c r="C7" s="72" t="n">
        <x:v>323071755</x:v>
      </x:c>
      <x:c r="D7" s="61" t="n">
        <x:v>5.99</x:v>
      </x:c>
      <x:c r="E7" s="61" t="n">
        <x:v>6.13</x:v>
      </x:c>
      <x:c r="F7" s="62" t="n">
        <x:f>D7/D6-1</x:f>
        <x:v>0.07927927927927936</x:v>
      </x:c>
    </x:row>
    <x:row r="8">
      <x:c r="A8" s="70" t="n">
        <x:v>2017</x:v>
      </x:c>
      <x:c r="B8" s="72" t="n">
        <x:v>19510</x:v>
      </x:c>
      <x:c r="C8" s="72" t="n">
        <x:v>325122128</x:v>
      </x:c>
      <x:c r="D8" s="61" t="n">
        <x:v>6</x:v>
      </x:c>
      <x:c r="E8" s="61" t="n">
        <x:v>6.14</x:v>
      </x:c>
      <x:c r="F8" s="62" t="n">
        <x:f>D8/D7-1</x:f>
        <x:v>0.0016694490818029983</x:v>
      </x:c>
    </x:row>
    <x:row r="9">
      <x:c r="A9" s="70" t="n">
        <x:v>2018</x:v>
      </x:c>
      <x:c r="B9" s="72" t="n">
        <x:v>18830</x:v>
      </x:c>
      <x:c r="C9" s="72" t="n">
        <x:v>326838199</x:v>
      </x:c>
      <x:c r="D9" s="61" t="n">
        <x:v>5.76</x:v>
      </x:c>
      <x:c r="E9" s="61" t="n">
        <x:v>5.91</x:v>
      </x:c>
      <x:c r="F9" s="62" t="n">
        <x:f>D9/D8-1</x:f>
        <x:v>-0.040000000000000036</x:v>
      </x:c>
    </x:row>
    <x:row r="10">
      <x:c r="A10" s="70" t="n">
        <x:v>2019</x:v>
      </x:c>
      <x:c r="B10" s="72" t="n">
        <x:v>19141</x:v>
      </x:c>
      <x:c r="C10" s="72" t="n">
        <x:v>328329953</x:v>
      </x:c>
      <x:c r="D10" s="61" t="n">
        <x:v>5.83</x:v>
      </x:c>
      <x:c r="E10" s="61" t="n">
        <x:v>6.01</x:v>
      </x:c>
      <x:c r="F10" s="62" t="n">
        <x:f>D10/D9-1</x:f>
        <x:v>0.012152777777777901</x:v>
      </x:c>
    </x:row>
    <x:row r="11">
      <x:c r="A11" s="70" t="n">
        <x:v>2020</x:v>
      </x:c>
      <x:c r="B11" s="72" t="n">
        <x:v>24576</x:v>
      </x:c>
      <x:c r="C11" s="72" t="n">
        <x:v>331577720</x:v>
      </x:c>
      <x:c r="D11" s="61" t="n">
        <x:v>7.41</x:v>
      </x:c>
      <x:c r="E11" s="61" t="n">
        <x:v>7.69</x:v>
      </x:c>
      <x:c r="F11" s="62" t="n">
        <x:f>D11/D10-1</x:f>
        <x:v>0.2710120068610635</x:v>
      </x:c>
    </x:row>
    <x:row r="12">
      <x:c r="A12" s="70" t="n">
        <x:v>2021</x:v>
      </x:c>
      <x:c r="B12" s="72" t="n">
        <x:v>26031</x:v>
      </x:c>
      <x:c r="C12" s="72" t="n">
        <x:v>332099760</x:v>
      </x:c>
      <x:c r="D12" s="61" t="n">
        <x:v>7.84</x:v>
      </x:c>
      <x:c r="E12" s="61" t="n">
        <x:v>8.15</x:v>
      </x:c>
      <x:c r="F12" s="62" t="n">
        <x:f>D12/D11-1</x:f>
        <x:v>0.05802968960863697</x:v>
      </x:c>
    </x:row>
    <x:row r="13">
      <x:c r="A13" s="70" t="n">
        <x:v>2022</x:v>
      </x:c>
      <x:c r="B13" s="72" t="n">
        <x:v>24849</x:v>
      </x:c>
      <x:c r="C13" s="72" t="n">
        <x:v>334017321</x:v>
      </x:c>
      <x:c r="D13" s="61" t="n">
        <x:v>7.44</x:v>
      </x:c>
      <x:c r="E13" s="61" t="n">
        <x:v>7.75</x:v>
      </x:c>
      <x:c r="F13" s="62" t="n">
        <x:f>D13/D12-1</x:f>
        <x:v>-0.05102040816326525</x:v>
      </x:c>
    </x:row>
    <x:row r="14">
      <x:c r="A14" s="70" t="n">
        <x:v>2023</x:v>
      </x:c>
      <x:c r="B14" s="72" t="n">
        <x:v>22829</x:v>
      </x:c>
      <x:c r="C14" s="72" t="n">
        <x:v>336806231</x:v>
      </x:c>
      <x:c r="D14" s="61" t="n">
        <x:v>6.78</x:v>
      </x:c>
      <x:c r="E14" s="61" t="n">
        <x:v>7.04</x:v>
      </x:c>
      <x:c r="F14" s="62" t="n">
        <x:f>D14/D13-1</x:f>
        <x:v>-0.08870967741935487</x:v>
      </x:c>
    </x:row>
    <x:row r="15">
      <x:c r="A15" s="70" t="n">
        <x:v>2024</x:v>
      </x:c>
      <x:c r="B15" s="72" t="n">
        <x:v>20162</x:v>
      </x:c>
      <x:c r="C15" s="72" t="n">
        <x:v>340110988</x:v>
      </x:c>
      <x:c r="D15" s="61" t="n">
        <x:v>5.93</x:v>
      </x:c>
      <x:c r="E15" s="61" t="n">
        <x:v>6.15</x:v>
      </x:c>
      <x:c r="F15" s="62" t="n">
        <x:f>D15/D14-1</x:f>
        <x:v>-0.12536873156342188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1f56bd6be85641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3" t="str">
        <x:v>Definitions, limitations, and sources</x:v>
      </x:c>
      <x:c r="B1" s="3"/>
    </x:row>
    <x:row r="2">
      <x:c r="A2" s="3"/>
      <x:c r="B2" s="3"/>
    </x:row>
    <x:row r="3">
      <x:c r="A3" s="4" t="str">
        <x:v>Read this sheet before comparing these figures with police-reported “murder” statistics or social-media claims.</x:v>
      </x:c>
    </x:row>
    <x:row r="5" ht="36" customHeight="1">
      <x:c r="A5" s="76" t="str">
        <x:v>Measure</x:v>
      </x:c>
      <x:c r="B5" s="77" t="str">
        <x:v>Homicide mortality: deaths in which the underlying cause is homicide, by the decedent’s state of residence.</x:v>
      </x:c>
    </x:row>
    <x:row r="6" ht="36" customHeight="1">
      <x:c r="A6" s="76" t="str">
        <x:v>Rate</x:v>
      </x:c>
      <x:c r="B6" s="77" t="str">
        <x:v>Crude death rate per 100,000 residents. This is the direct per-capita measure requested.</x:v>
      </x:c>
    </x:row>
    <x:row r="7" ht="36" customHeight="1">
      <x:c r="A7" s="76" t="str">
        <x:v>Age-adjusted rate</x:v>
      </x:c>
      <x:c r="B7" s="77" t="str">
        <x:v>Standardized to the 2000 U.S. population; useful when comparing states with different age structures.</x:v>
      </x:c>
    </x:row>
    <x:row r="8" ht="36" customHeight="1">
      <x:c r="A8" s="76" t="str">
        <x:v>Cause codes</x:v>
      </x:c>
      <x:c r="B8" s="77" t="str">
        <x:v>ICD-10 X85–Y09, Y87.1, *U01–*U02. Legal intervention is excluded.</x:v>
      </x:c>
    </x:row>
    <x:row r="9" ht="36" customHeight="1">
      <x:c r="A9" s="76" t="str">
        <x:v>Period</x:v>
      </x:c>
      <x:c r="B9" s="77" t="str">
        <x:v>Final annual data for 2015–2024, the latest ten complete years available in WISQARS when retrieved July 28, 2026.</x:v>
      </x:c>
    </x:row>
    <x:row r="10" ht="36" customHeight="1">
      <x:c r="A10" s="76" t="str">
        <x:v>Geography</x:v>
      </x:c>
      <x:c r="B10" s="77" t="str">
        <x:v>All 50 states are included; District of Columbia and territories are excluded from state tables. National values include D.C.</x:v>
      </x:c>
    </x:row>
    <x:row r="11" ht="36" customHeight="1">
      <x:c r="A11" s="76" t="str">
        <x:v>Small numbers</x:v>
      </x:c>
      <x:c r="B11" s="77" t="str">
        <x:v>CDC marks rates based on fewer than 20 deaths as unstable. Several small-state rates fluctuate sharply year to year.</x:v>
      </x:c>
    </x:row>
    <x:row r="12" ht="36" customHeight="1">
      <x:c r="A12" s="76" t="str">
        <x:v>What this does not show</x:v>
      </x:c>
      <x:c r="B12" s="77" t="str">
        <x:v>These statewide totals do not identify offenders, victim–offender relationships, race, firearm involvement, or neighborhood concentration.</x:v>
      </x:c>
    </x:row>
    <x:row r="13" ht="36" customHeight="1">
      <x:c r="A13" s="76" t="str">
        <x:v>Murder vs. homicide mortality</x:v>
      </x:c>
      <x:c r="B13" s="77" t="str">
        <x:v>Police “murder and nonnegligent manslaughter” counts and death-certificate homicide counts are related but not identical measures.</x:v>
      </x:c>
    </x:row>
    <x:row r="14" ht="36" customHeight="1">
      <x:c r="A14" s="76" t="str">
        <x:v>Primary source</x:v>
      </x:c>
      <x:c r="B14" s="77" t="str">
        <x:v>CDC WISQARS Fatal Injury Reports — https://wisqars.cdc.gov/reports/</x:v>
      </x:c>
    </x:row>
    <x:row r="15" ht="36" customHeight="1">
      <x:c r="A15" s="76" t="str">
        <x:v>Data description</x:v>
      </x:c>
      <x:c r="B15" s="77" t="str">
        <x:v>CDC WISQARS Fatal Injury Data — https://wisqars.cdc.gov/about/fatal-injury-data</x:v>
      </x:c>
    </x:row>
    <x:row r="16" ht="36" customHeight="1">
      <x:c r="A16" s="76" t="str">
        <x:v>Source system</x:v>
      </x:c>
      <x:c r="B16" s="77" t="str">
        <x:v>CDC/NCHS National Vital Statistics System (NVSS) annual mortality files.</x:v>
      </x:c>
    </x:row>
    <x:row r="17" ht="36" customHeight="1">
      <x:c r="A17" s="76" t="str">
        <x:v>Retrieved</x:v>
      </x:c>
      <x:c r="B17" s="77" t="str">
        <x:v>July 28, 2026</x:v>
      </x:c>
    </x:row>
  </x:sheetData>
  <x:mergeCells>
    <x:mergeCell ref="A1:B2"/>
  </x:mergeCells>
  <x:pageMargins left="0.7" right="0.7" top="0.75" bottom="0.75" header="0.3" footer="0.3"/>
</x:worksheet>
</file>